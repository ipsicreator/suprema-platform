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8학년도 시행계획(결재)\홈페이지 공지(최종)_260430\"/>
    </mc:Choice>
  </mc:AlternateContent>
  <bookViews>
    <workbookView xWindow="0" yWindow="0" windowWidth="28800" windowHeight="12135"/>
  </bookViews>
  <sheets>
    <sheet name="삼척캠퍼스" sheetId="1" r:id="rId1"/>
  </sheets>
  <definedNames>
    <definedName name="_xlnm.Print_Area" localSheetId="0">삼척캠퍼스!$A$1:$AD$44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2" i="1" l="1"/>
  <c r="S42" i="1"/>
  <c r="O42" i="1"/>
  <c r="G42" i="1"/>
  <c r="Z41" i="1"/>
  <c r="Y41" i="1"/>
  <c r="X41" i="1"/>
  <c r="W41" i="1"/>
  <c r="V41" i="1"/>
  <c r="V42" i="1" s="1"/>
  <c r="T41" i="1"/>
  <c r="S41" i="1"/>
  <c r="R41" i="1"/>
  <c r="P41" i="1"/>
  <c r="N41" i="1"/>
  <c r="AC41" i="1" s="1"/>
  <c r="M41" i="1"/>
  <c r="L41" i="1"/>
  <c r="K41" i="1"/>
  <c r="Q41" i="1" s="1"/>
  <c r="I41" i="1"/>
  <c r="H41" i="1"/>
  <c r="J41" i="1" s="1"/>
  <c r="G41" i="1"/>
  <c r="E41" i="1"/>
  <c r="D41" i="1"/>
  <c r="AC40" i="1"/>
  <c r="AA40" i="1"/>
  <c r="AA41" i="1" s="1"/>
  <c r="Q40" i="1"/>
  <c r="J40" i="1"/>
  <c r="AB40" i="1" s="1"/>
  <c r="F40" i="1"/>
  <c r="AC39" i="1"/>
  <c r="AA39" i="1"/>
  <c r="Q39" i="1"/>
  <c r="J39" i="1"/>
  <c r="AB39" i="1" s="1"/>
  <c r="F39" i="1"/>
  <c r="F41" i="1" s="1"/>
  <c r="AC38" i="1"/>
  <c r="Z38" i="1"/>
  <c r="Y38" i="1"/>
  <c r="X38" i="1"/>
  <c r="W38" i="1"/>
  <c r="V38" i="1"/>
  <c r="T38" i="1"/>
  <c r="S38" i="1"/>
  <c r="R38" i="1"/>
  <c r="P38" i="1"/>
  <c r="M38" i="1"/>
  <c r="Q38" i="1" s="1"/>
  <c r="L38" i="1"/>
  <c r="K38" i="1"/>
  <c r="I38" i="1"/>
  <c r="H38" i="1"/>
  <c r="G38" i="1"/>
  <c r="J38" i="1" s="1"/>
  <c r="E38" i="1"/>
  <c r="D38" i="1"/>
  <c r="AC37" i="1"/>
  <c r="AB37" i="1"/>
  <c r="AA37" i="1"/>
  <c r="Q37" i="1"/>
  <c r="J37" i="1"/>
  <c r="U37" i="1" s="1"/>
  <c r="AD37" i="1" s="1"/>
  <c r="F37" i="1"/>
  <c r="AC36" i="1"/>
  <c r="AA36" i="1"/>
  <c r="Q36" i="1"/>
  <c r="J36" i="1"/>
  <c r="AB36" i="1" s="1"/>
  <c r="F36" i="1"/>
  <c r="AC35" i="1"/>
  <c r="AA35" i="1"/>
  <c r="Q35" i="1"/>
  <c r="J35" i="1"/>
  <c r="AB35" i="1" s="1"/>
  <c r="F35" i="1"/>
  <c r="AA34" i="1"/>
  <c r="AB34" i="1" s="1"/>
  <c r="Q34" i="1"/>
  <c r="J34" i="1"/>
  <c r="U34" i="1" s="1"/>
  <c r="AD34" i="1" s="1"/>
  <c r="F34" i="1"/>
  <c r="AA33" i="1"/>
  <c r="Q33" i="1"/>
  <c r="J33" i="1"/>
  <c r="AB33" i="1" s="1"/>
  <c r="F33" i="1"/>
  <c r="AA32" i="1"/>
  <c r="Q32" i="1"/>
  <c r="J32" i="1"/>
  <c r="AB32" i="1" s="1"/>
  <c r="F32" i="1"/>
  <c r="AC31" i="1"/>
  <c r="AA31" i="1"/>
  <c r="AB31" i="1" s="1"/>
  <c r="Q31" i="1"/>
  <c r="U31" i="1" s="1"/>
  <c r="AD31" i="1" s="1"/>
  <c r="J31" i="1"/>
  <c r="F31" i="1"/>
  <c r="AC30" i="1"/>
  <c r="AA30" i="1"/>
  <c r="Q30" i="1"/>
  <c r="J30" i="1"/>
  <c r="AB30" i="1" s="1"/>
  <c r="F30" i="1"/>
  <c r="F38" i="1" s="1"/>
  <c r="AC29" i="1"/>
  <c r="AA29" i="1"/>
  <c r="Q29" i="1"/>
  <c r="J29" i="1"/>
  <c r="AB29" i="1" s="1"/>
  <c r="F29" i="1"/>
  <c r="AC28" i="1"/>
  <c r="Z28" i="1"/>
  <c r="Y28" i="1"/>
  <c r="X28" i="1"/>
  <c r="W28" i="1"/>
  <c r="V28" i="1"/>
  <c r="T28" i="1"/>
  <c r="S28" i="1"/>
  <c r="R28" i="1"/>
  <c r="P28" i="1"/>
  <c r="M28" i="1"/>
  <c r="L28" i="1"/>
  <c r="K28" i="1"/>
  <c r="Q28" i="1" s="1"/>
  <c r="I28" i="1"/>
  <c r="H28" i="1"/>
  <c r="G28" i="1"/>
  <c r="J28" i="1" s="1"/>
  <c r="E28" i="1"/>
  <c r="D28" i="1"/>
  <c r="AA27" i="1"/>
  <c r="AB27" i="1" s="1"/>
  <c r="Q27" i="1"/>
  <c r="U27" i="1" s="1"/>
  <c r="AD27" i="1" s="1"/>
  <c r="J27" i="1"/>
  <c r="F27" i="1"/>
  <c r="AA26" i="1"/>
  <c r="Q26" i="1"/>
  <c r="J26" i="1"/>
  <c r="U26" i="1" s="1"/>
  <c r="AD26" i="1" s="1"/>
  <c r="F26" i="1"/>
  <c r="F28" i="1" s="1"/>
  <c r="AA25" i="1"/>
  <c r="AB25" i="1" s="1"/>
  <c r="Q25" i="1"/>
  <c r="J25" i="1"/>
  <c r="U25" i="1" s="1"/>
  <c r="AD25" i="1" s="1"/>
  <c r="F25" i="1"/>
  <c r="AC24" i="1"/>
  <c r="Z24" i="1"/>
  <c r="Y24" i="1"/>
  <c r="X24" i="1"/>
  <c r="W24" i="1"/>
  <c r="V24" i="1"/>
  <c r="T24" i="1"/>
  <c r="S24" i="1"/>
  <c r="R24" i="1"/>
  <c r="P24" i="1"/>
  <c r="M24" i="1"/>
  <c r="L24" i="1"/>
  <c r="K24" i="1"/>
  <c r="Q24" i="1" s="1"/>
  <c r="I24" i="1"/>
  <c r="J24" i="1" s="1"/>
  <c r="H24" i="1"/>
  <c r="G24" i="1"/>
  <c r="E24" i="1"/>
  <c r="D24" i="1"/>
  <c r="AA23" i="1"/>
  <c r="Q23" i="1"/>
  <c r="J23" i="1"/>
  <c r="AB23" i="1" s="1"/>
  <c r="F23" i="1"/>
  <c r="AA22" i="1"/>
  <c r="Q22" i="1"/>
  <c r="J22" i="1"/>
  <c r="AB22" i="1" s="1"/>
  <c r="F22" i="1"/>
  <c r="AA21" i="1"/>
  <c r="AB21" i="1" s="1"/>
  <c r="Q21" i="1"/>
  <c r="U21" i="1" s="1"/>
  <c r="AD21" i="1" s="1"/>
  <c r="J21" i="1"/>
  <c r="F21" i="1"/>
  <c r="AA20" i="1"/>
  <c r="Q20" i="1"/>
  <c r="J20" i="1"/>
  <c r="AB20" i="1" s="1"/>
  <c r="F20" i="1"/>
  <c r="AA19" i="1"/>
  <c r="AB19" i="1" s="1"/>
  <c r="Q19" i="1"/>
  <c r="J19" i="1"/>
  <c r="U19" i="1" s="1"/>
  <c r="AD19" i="1" s="1"/>
  <c r="F19" i="1"/>
  <c r="AC18" i="1"/>
  <c r="AA18" i="1"/>
  <c r="Q18" i="1"/>
  <c r="J18" i="1"/>
  <c r="AB18" i="1" s="1"/>
  <c r="F18" i="1"/>
  <c r="AC17" i="1"/>
  <c r="AA17" i="1"/>
  <c r="Q17" i="1"/>
  <c r="J17" i="1"/>
  <c r="U17" i="1" s="1"/>
  <c r="AD17" i="1" s="1"/>
  <c r="F17" i="1"/>
  <c r="AC16" i="1"/>
  <c r="AA16" i="1"/>
  <c r="AA24" i="1" s="1"/>
  <c r="Q16" i="1"/>
  <c r="J16" i="1"/>
  <c r="U16" i="1" s="1"/>
  <c r="AD16" i="1" s="1"/>
  <c r="F16" i="1"/>
  <c r="F24" i="1" s="1"/>
  <c r="AC15" i="1"/>
  <c r="AC42" i="1" s="1"/>
  <c r="Z15" i="1"/>
  <c r="Z42" i="1" s="1"/>
  <c r="Y15" i="1"/>
  <c r="Y42" i="1" s="1"/>
  <c r="X15" i="1"/>
  <c r="X42" i="1" s="1"/>
  <c r="W15" i="1"/>
  <c r="W42" i="1" s="1"/>
  <c r="V15" i="1"/>
  <c r="T15" i="1"/>
  <c r="S15" i="1"/>
  <c r="R15" i="1"/>
  <c r="R42" i="1" s="1"/>
  <c r="P15" i="1"/>
  <c r="M15" i="1"/>
  <c r="M42" i="1" s="1"/>
  <c r="L15" i="1"/>
  <c r="L42" i="1" s="1"/>
  <c r="K15" i="1"/>
  <c r="Q15" i="1" s="1"/>
  <c r="I15" i="1"/>
  <c r="I42" i="1" s="1"/>
  <c r="H15" i="1"/>
  <c r="G15" i="1"/>
  <c r="E15" i="1"/>
  <c r="E42" i="1" s="1"/>
  <c r="D15" i="1"/>
  <c r="D42" i="1" s="1"/>
  <c r="AA14" i="1"/>
  <c r="Q14" i="1"/>
  <c r="J14" i="1"/>
  <c r="AB14" i="1" s="1"/>
  <c r="F14" i="1"/>
  <c r="AA13" i="1"/>
  <c r="Q13" i="1"/>
  <c r="J13" i="1"/>
  <c r="AB13" i="1" s="1"/>
  <c r="F13" i="1"/>
  <c r="AA12" i="1"/>
  <c r="AB12" i="1" s="1"/>
  <c r="Q12" i="1"/>
  <c r="U12" i="1" s="1"/>
  <c r="AD12" i="1" s="1"/>
  <c r="J12" i="1"/>
  <c r="F12" i="1"/>
  <c r="AA11" i="1"/>
  <c r="Q11" i="1"/>
  <c r="J11" i="1"/>
  <c r="U11" i="1" s="1"/>
  <c r="AD11" i="1" s="1"/>
  <c r="F11" i="1"/>
  <c r="AA10" i="1"/>
  <c r="AB10" i="1" s="1"/>
  <c r="Q10" i="1"/>
  <c r="J10" i="1"/>
  <c r="U10" i="1" s="1"/>
  <c r="AD10" i="1" s="1"/>
  <c r="F10" i="1"/>
  <c r="AA9" i="1"/>
  <c r="Q9" i="1"/>
  <c r="J9" i="1"/>
  <c r="AB9" i="1" s="1"/>
  <c r="F9" i="1"/>
  <c r="AA8" i="1"/>
  <c r="Q8" i="1"/>
  <c r="J8" i="1"/>
  <c r="AB8" i="1" s="1"/>
  <c r="F8" i="1"/>
  <c r="AA7" i="1"/>
  <c r="AA15" i="1" s="1"/>
  <c r="Q7" i="1"/>
  <c r="J7" i="1"/>
  <c r="AB7" i="1" s="1"/>
  <c r="F7" i="1"/>
  <c r="F15" i="1" s="1"/>
  <c r="F42" i="1" s="1"/>
  <c r="Q42" i="1" l="1"/>
  <c r="AB41" i="1"/>
  <c r="U41" i="1"/>
  <c r="AD41" i="1" s="1"/>
  <c r="U38" i="1"/>
  <c r="AD38" i="1" s="1"/>
  <c r="U24" i="1"/>
  <c r="AD24" i="1" s="1"/>
  <c r="AB24" i="1"/>
  <c r="AB28" i="1"/>
  <c r="U28" i="1"/>
  <c r="AD28" i="1" s="1"/>
  <c r="AA38" i="1"/>
  <c r="AB38" i="1" s="1"/>
  <c r="AB16" i="1"/>
  <c r="U36" i="1"/>
  <c r="AD36" i="1" s="1"/>
  <c r="H42" i="1"/>
  <c r="U14" i="1"/>
  <c r="AD14" i="1" s="1"/>
  <c r="U7" i="1"/>
  <c r="AD7" i="1" s="1"/>
  <c r="AA28" i="1"/>
  <c r="U23" i="1"/>
  <c r="AD23" i="1" s="1"/>
  <c r="U40" i="1"/>
  <c r="AD40" i="1" s="1"/>
  <c r="U9" i="1"/>
  <c r="AD9" i="1" s="1"/>
  <c r="U33" i="1"/>
  <c r="AD33" i="1" s="1"/>
  <c r="U30" i="1"/>
  <c r="AD30" i="1" s="1"/>
  <c r="U35" i="1"/>
  <c r="AD35" i="1" s="1"/>
  <c r="U39" i="1"/>
  <c r="AD39" i="1" s="1"/>
  <c r="U13" i="1"/>
  <c r="AD13" i="1" s="1"/>
  <c r="U22" i="1"/>
  <c r="AD22" i="1" s="1"/>
  <c r="AB26" i="1"/>
  <c r="N42" i="1"/>
  <c r="U8" i="1"/>
  <c r="AD8" i="1" s="1"/>
  <c r="AB17" i="1"/>
  <c r="U29" i="1"/>
  <c r="AD29" i="1" s="1"/>
  <c r="U32" i="1"/>
  <c r="AD32" i="1" s="1"/>
  <c r="J15" i="1"/>
  <c r="U20" i="1"/>
  <c r="AD20" i="1" s="1"/>
  <c r="AB11" i="1"/>
  <c r="U18" i="1"/>
  <c r="AD18" i="1" s="1"/>
  <c r="K42" i="1"/>
  <c r="U15" i="1" l="1"/>
  <c r="AB15" i="1"/>
  <c r="AB42" i="1" s="1"/>
  <c r="J42" i="1"/>
  <c r="AA42" i="1"/>
  <c r="AB43" i="1" l="1"/>
  <c r="AA43" i="1"/>
  <c r="AD15" i="1"/>
  <c r="AD42" i="1" s="1"/>
  <c r="U42" i="1"/>
  <c r="U43" i="1" s="1"/>
  <c r="AD43" i="1" l="1"/>
  <c r="O43" i="1"/>
  <c r="P43" i="1"/>
  <c r="G43" i="1"/>
  <c r="Y43" i="1"/>
  <c r="AC43" i="1"/>
  <c r="V43" i="1"/>
  <c r="R43" i="1"/>
  <c r="W43" i="1"/>
  <c r="L43" i="1"/>
  <c r="X43" i="1"/>
  <c r="I43" i="1"/>
  <c r="M43" i="1"/>
  <c r="S43" i="1"/>
  <c r="Z43" i="1"/>
  <c r="T43" i="1"/>
  <c r="H43" i="1"/>
  <c r="Q43" i="1"/>
  <c r="N43" i="1"/>
  <c r="K43" i="1"/>
  <c r="J43" i="1"/>
</calcChain>
</file>

<file path=xl/sharedStrings.xml><?xml version="1.0" encoding="utf-8"?>
<sst xmlns="http://schemas.openxmlformats.org/spreadsheetml/2006/main" count="135" uniqueCount="91">
  <si>
    <t>2028학년도 대학입학전형 모집단위별 모집인원</t>
    <phoneticPr fontId="6" type="noConversion"/>
  </si>
  <si>
    <t>캠퍼스</t>
    <phoneticPr fontId="6" type="noConversion"/>
  </si>
  <si>
    <t>단과
대학명</t>
    <phoneticPr fontId="6" type="noConversion"/>
  </si>
  <si>
    <t>모집단위명</t>
  </si>
  <si>
    <t>2027
학년도 
입학
정원
(2026.3.1 
학칙)</t>
    <phoneticPr fontId="3" type="noConversion"/>
  </si>
  <si>
    <t>2026
학년도
이월
인원
(미정)</t>
    <phoneticPr fontId="3" type="noConversion"/>
  </si>
  <si>
    <t>2028
학년도
모집인원
(최종)</t>
    <phoneticPr fontId="3" type="noConversion"/>
  </si>
  <si>
    <t>수시 모집</t>
    <phoneticPr fontId="6" type="noConversion"/>
  </si>
  <si>
    <t>정시 모집</t>
    <phoneticPr fontId="6" type="noConversion"/>
  </si>
  <si>
    <t>정원내
소  계</t>
    <phoneticPr fontId="6" type="noConversion"/>
  </si>
  <si>
    <t>정원외
소   계</t>
    <phoneticPr fontId="6" type="noConversion"/>
  </si>
  <si>
    <t>합  계</t>
    <phoneticPr fontId="6" type="noConversion"/>
  </si>
  <si>
    <t>학생부종합</t>
    <phoneticPr fontId="6" type="noConversion"/>
  </si>
  <si>
    <t>학생부교과</t>
    <phoneticPr fontId="6" type="noConversion"/>
  </si>
  <si>
    <t>실기/실적</t>
    <phoneticPr fontId="6" type="noConversion"/>
  </si>
  <si>
    <t>수시
소계</t>
    <phoneticPr fontId="6" type="noConversion"/>
  </si>
  <si>
    <t>가군</t>
    <phoneticPr fontId="6" type="noConversion"/>
  </si>
  <si>
    <t>나군</t>
    <phoneticPr fontId="6" type="noConversion"/>
  </si>
  <si>
    <t>다군</t>
    <phoneticPr fontId="6" type="noConversion"/>
  </si>
  <si>
    <t>정시
소계</t>
    <phoneticPr fontId="6" type="noConversion"/>
  </si>
  <si>
    <t>정원내</t>
    <phoneticPr fontId="3" type="noConversion"/>
  </si>
  <si>
    <t>학종
소계</t>
    <phoneticPr fontId="3" type="noConversion"/>
  </si>
  <si>
    <t>정원외</t>
    <phoneticPr fontId="3" type="noConversion"/>
  </si>
  <si>
    <t>교과
소계</t>
    <phoneticPr fontId="3" type="noConversion"/>
  </si>
  <si>
    <t>미래인재 서류</t>
    <phoneticPr fontId="6" type="noConversion"/>
  </si>
  <si>
    <t>미래인재 면접</t>
    <phoneticPr fontId="6" type="noConversion"/>
  </si>
  <si>
    <t>기회균형</t>
    <phoneticPr fontId="6" type="noConversion"/>
  </si>
  <si>
    <t>일반</t>
    <phoneticPr fontId="6" type="noConversion"/>
  </si>
  <si>
    <t>강원인재</t>
    <phoneticPr fontId="6" type="noConversion"/>
  </si>
  <si>
    <t>저소득-
강원인재</t>
    <phoneticPr fontId="6" type="noConversion"/>
  </si>
  <si>
    <t>농어촌
학생</t>
    <phoneticPr fontId="6" type="noConversion"/>
  </si>
  <si>
    <t>특성화고교 
졸업자</t>
    <phoneticPr fontId="6" type="noConversion"/>
  </si>
  <si>
    <t>특수교육
대상자</t>
    <phoneticPr fontId="6" type="noConversion"/>
  </si>
  <si>
    <t>실기
우수자</t>
    <phoneticPr fontId="6" type="noConversion"/>
  </si>
  <si>
    <t>실적
우수자</t>
    <phoneticPr fontId="3" type="noConversion"/>
  </si>
  <si>
    <t>체육
특기자</t>
    <phoneticPr fontId="6" type="noConversion"/>
  </si>
  <si>
    <t>수능
(일반)</t>
  </si>
  <si>
    <t>수능
(강원인재)</t>
    <phoneticPr fontId="3" type="noConversion"/>
  </si>
  <si>
    <t>실기/실적
(일반)</t>
    <phoneticPr fontId="3" type="noConversion"/>
  </si>
  <si>
    <t>수능
(일반)</t>
    <phoneticPr fontId="3" type="noConversion"/>
  </si>
  <si>
    <t>삼척</t>
    <phoneticPr fontId="6" type="noConversion"/>
  </si>
  <si>
    <t>공학
대학</t>
    <phoneticPr fontId="6" type="noConversion"/>
  </si>
  <si>
    <t>도시건축학과(5년제)</t>
    <phoneticPr fontId="3" type="noConversion"/>
  </si>
  <si>
    <t>20
(모집단위별 
입학정원의 
10%이내 선발)</t>
    <phoneticPr fontId="6" type="noConversion"/>
  </si>
  <si>
    <t>13
(모집단위별 
입학정원의 
10%이내 선발)</t>
    <phoneticPr fontId="6" type="noConversion"/>
  </si>
  <si>
    <t>◎</t>
    <phoneticPr fontId="6" type="noConversion"/>
  </si>
  <si>
    <t>미래토목건설공학과</t>
    <phoneticPr fontId="3" type="noConversion"/>
  </si>
  <si>
    <t>기계공학과</t>
    <phoneticPr fontId="3" type="noConversion"/>
  </si>
  <si>
    <t>그린에너지공학과</t>
    <phoneticPr fontId="3" type="noConversion"/>
  </si>
  <si>
    <t>전기공학과</t>
    <phoneticPr fontId="3" type="noConversion"/>
  </si>
  <si>
    <t>첨단AI공학과</t>
    <phoneticPr fontId="3" type="noConversion"/>
  </si>
  <si>
    <t>도계</t>
    <phoneticPr fontId="6" type="noConversion"/>
  </si>
  <si>
    <t>소방방재학부</t>
    <phoneticPr fontId="3" type="noConversion"/>
  </si>
  <si>
    <t>공학대학 자유전공학과</t>
    <phoneticPr fontId="3" type="noConversion"/>
  </si>
  <si>
    <t>소 계</t>
    <phoneticPr fontId="6" type="noConversion"/>
  </si>
  <si>
    <t>도계</t>
    <phoneticPr fontId="3" type="noConversion"/>
  </si>
  <si>
    <t>보건복지대학</t>
    <phoneticPr fontId="6" type="noConversion"/>
  </si>
  <si>
    <t>사회복지학과</t>
    <phoneticPr fontId="3" type="noConversion"/>
  </si>
  <si>
    <t>인문대학</t>
    <phoneticPr fontId="3" type="noConversion"/>
  </si>
  <si>
    <t>일본학과</t>
    <phoneticPr fontId="3" type="noConversion"/>
  </si>
  <si>
    <t>인문사회대학</t>
    <phoneticPr fontId="3" type="noConversion"/>
  </si>
  <si>
    <t>유아교육과</t>
  </si>
  <si>
    <t>공공행정학과</t>
    <phoneticPr fontId="3" type="noConversion"/>
  </si>
  <si>
    <t>4
(모집단위별 
입학정원의 10%이내 선발)</t>
    <phoneticPr fontId="6" type="noConversion"/>
  </si>
  <si>
    <t>2
(모집단위별
 입학정원의 10%이내 선발)</t>
    <phoneticPr fontId="6" type="noConversion"/>
  </si>
  <si>
    <t>관광학과</t>
    <phoneticPr fontId="3" type="noConversion"/>
  </si>
  <si>
    <t>경제금융학과</t>
    <phoneticPr fontId="3" type="noConversion"/>
  </si>
  <si>
    <t>영어과</t>
    <phoneticPr fontId="3" type="noConversion"/>
  </si>
  <si>
    <t>인문사회대학 자유전공학과</t>
    <phoneticPr fontId="3" type="noConversion"/>
  </si>
  <si>
    <t>삼척</t>
    <phoneticPr fontId="3" type="noConversion"/>
  </si>
  <si>
    <t>디자인스포츠대학</t>
    <phoneticPr fontId="3" type="noConversion"/>
  </si>
  <si>
    <t>멀티디자인학과</t>
    <phoneticPr fontId="3" type="noConversion"/>
  </si>
  <si>
    <t>5
(모집단위별 
입학정원의 
10%이내 선발)</t>
    <phoneticPr fontId="6" type="noConversion"/>
  </si>
  <si>
    <t>2
(모집단위별 
입학정원의 
10%이내 선발)</t>
    <phoneticPr fontId="6" type="noConversion"/>
  </si>
  <si>
    <t>생활조형디자인학과</t>
    <phoneticPr fontId="3" type="noConversion"/>
  </si>
  <si>
    <t>휴먼스포츠학과</t>
    <phoneticPr fontId="3" type="noConversion"/>
  </si>
  <si>
    <t>보건
과학대학</t>
  </si>
  <si>
    <t>간호학과</t>
  </si>
  <si>
    <t>물리치료학과</t>
  </si>
  <si>
    <t>방사선학과</t>
  </si>
  <si>
    <t>바이오기능성소재학과</t>
  </si>
  <si>
    <t>3
(모집단위별 
입학정원의 
10%이내 선발)</t>
    <phoneticPr fontId="6" type="noConversion"/>
  </si>
  <si>
    <t>식품영양학과</t>
  </si>
  <si>
    <t>안경광학과</t>
  </si>
  <si>
    <t>응급구조학과</t>
  </si>
  <si>
    <t>작업치료학과</t>
  </si>
  <si>
    <t>치위생학과</t>
  </si>
  <si>
    <t>독립학부</t>
  </si>
  <si>
    <t>자유전공학부(인문계열)</t>
  </si>
  <si>
    <t>자유전공학부(자연계열)</t>
  </si>
  <si>
    <t>전체 인원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</si>
</sst>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 ;[Red]\-#,##0\ "/>
    <numFmt numFmtId="177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1"/>
      <color rgb="FF9C0006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9" fillId="0" borderId="0"/>
    <xf numFmtId="0" fontId="9" fillId="0" borderId="0"/>
    <xf numFmtId="41" fontId="4" fillId="0" borderId="0">
      <alignment vertical="center"/>
    </xf>
    <xf numFmtId="41" fontId="1" fillId="0" borderId="0">
      <alignment vertical="center"/>
    </xf>
    <xf numFmtId="0" fontId="20" fillId="11" borderId="0">
      <alignment vertical="center"/>
    </xf>
    <xf numFmtId="0" fontId="1" fillId="0" borderId="0">
      <alignment vertical="center"/>
    </xf>
  </cellStyleXfs>
  <cellXfs count="289">
    <xf numFmtId="0" fontId="0" fillId="0" borderId="0" xfId="0">
      <alignment vertical="center"/>
    </xf>
    <xf numFmtId="0" fontId="2" fillId="0" borderId="0" xfId="1" applyNumberFormat="1" applyFont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7" fillId="0" borderId="0" xfId="1" applyNumberFormat="1" applyFont="1" applyAlignment="1">
      <alignment vertical="center"/>
    </xf>
    <xf numFmtId="0" fontId="8" fillId="2" borderId="1" xfId="3" applyNumberFormat="1" applyFont="1" applyFill="1" applyBorder="1" applyAlignment="1" applyProtection="1">
      <alignment horizontal="center" vertical="center"/>
    </xf>
    <xf numFmtId="0" fontId="8" fillId="2" borderId="2" xfId="3" applyNumberFormat="1" applyFont="1" applyFill="1" applyBorder="1" applyAlignment="1" applyProtection="1">
      <alignment horizontal="center" vertical="center" wrapText="1"/>
    </xf>
    <xf numFmtId="0" fontId="8" fillId="2" borderId="2" xfId="3" applyNumberFormat="1" applyFont="1" applyFill="1" applyBorder="1" applyAlignment="1" applyProtection="1">
      <alignment horizontal="center" vertical="center"/>
    </xf>
    <xf numFmtId="0" fontId="8" fillId="3" borderId="2" xfId="3" applyNumberFormat="1" applyFont="1" applyFill="1" applyBorder="1" applyAlignment="1" applyProtection="1">
      <alignment horizontal="center" vertical="center" wrapText="1"/>
    </xf>
    <xf numFmtId="0" fontId="10" fillId="3" borderId="2" xfId="4" applyFont="1" applyFill="1" applyBorder="1" applyAlignment="1" applyProtection="1">
      <alignment horizontal="center" vertical="center" shrinkToFit="1"/>
    </xf>
    <xf numFmtId="0" fontId="10" fillId="3" borderId="3" xfId="4" applyFont="1" applyFill="1" applyBorder="1" applyAlignment="1" applyProtection="1">
      <alignment horizontal="center" vertical="center" shrinkToFit="1"/>
    </xf>
    <xf numFmtId="0" fontId="10" fillId="3" borderId="2" xfId="4" applyFont="1" applyFill="1" applyBorder="1" applyAlignment="1" applyProtection="1">
      <alignment horizontal="center" vertical="center" wrapText="1" shrinkToFit="1"/>
    </xf>
    <xf numFmtId="0" fontId="10" fillId="3" borderId="4" xfId="4" applyFont="1" applyFill="1" applyBorder="1" applyAlignment="1" applyProtection="1">
      <alignment horizontal="center" vertical="center" wrapText="1" shrinkToFit="1"/>
    </xf>
    <xf numFmtId="0" fontId="10" fillId="3" borderId="5" xfId="4" applyFont="1" applyFill="1" applyBorder="1" applyAlignment="1" applyProtection="1">
      <alignment horizontal="center" vertical="center" wrapText="1" shrinkToFit="1"/>
    </xf>
    <xf numFmtId="0" fontId="11" fillId="0" borderId="0" xfId="1" applyNumberFormat="1" applyFont="1" applyAlignment="1">
      <alignment vertical="center"/>
    </xf>
    <xf numFmtId="0" fontId="8" fillId="2" borderId="6" xfId="3" applyNumberFormat="1" applyFont="1" applyFill="1" applyBorder="1" applyAlignment="1" applyProtection="1">
      <alignment horizontal="center" vertical="center"/>
    </xf>
    <xf numFmtId="0" fontId="8" fillId="2" borderId="7" xfId="3" applyNumberFormat="1" applyFont="1" applyFill="1" applyBorder="1" applyAlignment="1" applyProtection="1">
      <alignment horizontal="center" vertical="center"/>
    </xf>
    <xf numFmtId="0" fontId="8" fillId="2" borderId="7" xfId="3" applyNumberFormat="1" applyFont="1" applyFill="1" applyBorder="1" applyAlignment="1" applyProtection="1">
      <alignment horizontal="center" vertical="center" wrapText="1"/>
    </xf>
    <xf numFmtId="0" fontId="8" fillId="3" borderId="7" xfId="3" applyNumberFormat="1" applyFont="1" applyFill="1" applyBorder="1" applyAlignment="1" applyProtection="1">
      <alignment horizontal="center" vertical="center" wrapText="1"/>
    </xf>
    <xf numFmtId="0" fontId="10" fillId="3" borderId="7" xfId="4" applyFont="1" applyFill="1" applyBorder="1" applyAlignment="1" applyProtection="1">
      <alignment horizontal="center" vertical="center" wrapText="1"/>
    </xf>
    <xf numFmtId="0" fontId="10" fillId="3" borderId="8" xfId="4" applyFont="1" applyFill="1" applyBorder="1" applyAlignment="1" applyProtection="1">
      <alignment horizontal="center" vertical="center" wrapText="1"/>
    </xf>
    <xf numFmtId="0" fontId="10" fillId="3" borderId="7" xfId="4" applyFont="1" applyFill="1" applyBorder="1" applyAlignment="1" applyProtection="1">
      <alignment horizontal="center" vertical="center" shrinkToFit="1"/>
    </xf>
    <xf numFmtId="0" fontId="10" fillId="3" borderId="8" xfId="4" applyFont="1" applyFill="1" applyBorder="1" applyAlignment="1" applyProtection="1">
      <alignment horizontal="center" vertical="center" shrinkToFit="1"/>
    </xf>
    <xf numFmtId="0" fontId="10" fillId="3" borderId="7" xfId="5" applyFont="1" applyFill="1" applyBorder="1" applyAlignment="1" applyProtection="1">
      <alignment horizontal="center" vertical="center"/>
    </xf>
    <xf numFmtId="0" fontId="10" fillId="3" borderId="9" xfId="5" applyFont="1" applyFill="1" applyBorder="1" applyAlignment="1" applyProtection="1">
      <alignment horizontal="center" vertical="center"/>
    </xf>
    <xf numFmtId="0" fontId="10" fillId="3" borderId="5" xfId="5" applyFont="1" applyFill="1" applyBorder="1" applyAlignment="1" applyProtection="1">
      <alignment horizontal="center" vertical="center" wrapText="1"/>
    </xf>
    <xf numFmtId="0" fontId="10" fillId="3" borderId="10" xfId="4" applyFont="1" applyFill="1" applyBorder="1" applyAlignment="1" applyProtection="1">
      <alignment horizontal="center" vertical="center" wrapText="1" shrinkToFit="1"/>
    </xf>
    <xf numFmtId="0" fontId="10" fillId="3" borderId="7" xfId="4" applyFont="1" applyFill="1" applyBorder="1" applyAlignment="1" applyProtection="1">
      <alignment horizontal="center" vertical="center" wrapText="1" shrinkToFit="1"/>
    </xf>
    <xf numFmtId="0" fontId="10" fillId="3" borderId="7" xfId="4" applyFont="1" applyFill="1" applyBorder="1" applyAlignment="1" applyProtection="1">
      <alignment horizontal="center" vertical="center" wrapText="1" shrinkToFit="1"/>
    </xf>
    <xf numFmtId="0" fontId="10" fillId="3" borderId="10" xfId="4" applyFont="1" applyFill="1" applyBorder="1" applyAlignment="1" applyProtection="1">
      <alignment horizontal="center" vertical="center" shrinkToFit="1"/>
    </xf>
    <xf numFmtId="0" fontId="10" fillId="3" borderId="9" xfId="4" applyFont="1" applyFill="1" applyBorder="1" applyAlignment="1" applyProtection="1">
      <alignment horizontal="center" vertical="center" shrinkToFit="1"/>
    </xf>
    <xf numFmtId="0" fontId="10" fillId="3" borderId="11" xfId="4" applyFont="1" applyFill="1" applyBorder="1" applyAlignment="1" applyProtection="1">
      <alignment horizontal="center" vertical="center" wrapText="1" shrinkToFit="1"/>
    </xf>
    <xf numFmtId="0" fontId="10" fillId="3" borderId="9" xfId="4" applyFont="1" applyFill="1" applyBorder="1" applyAlignment="1" applyProtection="1">
      <alignment horizontal="center" vertical="center" wrapText="1"/>
    </xf>
    <xf numFmtId="0" fontId="10" fillId="3" borderId="5" xfId="4" applyFont="1" applyFill="1" applyBorder="1" applyAlignment="1" applyProtection="1">
      <alignment horizontal="center" vertical="center" wrapText="1"/>
    </xf>
    <xf numFmtId="0" fontId="10" fillId="3" borderId="12" xfId="4" applyFont="1" applyFill="1" applyBorder="1" applyAlignment="1" applyProtection="1">
      <alignment horizontal="center" vertical="center" shrinkToFit="1"/>
    </xf>
    <xf numFmtId="0" fontId="10" fillId="3" borderId="13" xfId="4" applyFont="1" applyFill="1" applyBorder="1" applyAlignment="1" applyProtection="1">
      <alignment horizontal="center" vertical="center" shrinkToFit="1"/>
    </xf>
    <xf numFmtId="0" fontId="10" fillId="3" borderId="10" xfId="5" applyFont="1" applyFill="1" applyBorder="1" applyAlignment="1" applyProtection="1">
      <alignment horizontal="center" vertical="center"/>
    </xf>
    <xf numFmtId="0" fontId="10" fillId="3" borderId="13" xfId="5" applyFont="1" applyFill="1" applyBorder="1" applyAlignment="1" applyProtection="1">
      <alignment horizontal="center" vertical="center"/>
    </xf>
    <xf numFmtId="0" fontId="10" fillId="3" borderId="11" xfId="5" applyFont="1" applyFill="1" applyBorder="1" applyAlignment="1" applyProtection="1">
      <alignment horizontal="center" vertical="center" wrapText="1"/>
    </xf>
    <xf numFmtId="0" fontId="10" fillId="3" borderId="11" xfId="4" applyFont="1" applyFill="1" applyBorder="1" applyAlignment="1" applyProtection="1">
      <alignment horizontal="center" vertical="center" wrapText="1"/>
    </xf>
    <xf numFmtId="0" fontId="10" fillId="3" borderId="10" xfId="4" applyFont="1" applyFill="1" applyBorder="1" applyAlignment="1" applyProtection="1">
      <alignment horizontal="center" vertical="center" wrapText="1" shrinkToFit="1"/>
    </xf>
    <xf numFmtId="0" fontId="10" fillId="3" borderId="11" xfId="4" applyFont="1" applyFill="1" applyBorder="1" applyAlignment="1" applyProtection="1">
      <alignment horizontal="center" vertical="center" shrinkToFit="1"/>
    </xf>
    <xf numFmtId="0" fontId="10" fillId="3" borderId="10" xfId="4" applyFont="1" applyFill="1" applyBorder="1" applyAlignment="1" applyProtection="1">
      <alignment horizontal="center" vertical="center" wrapText="1"/>
    </xf>
    <xf numFmtId="0" fontId="10" fillId="3" borderId="9" xfId="4" applyFont="1" applyFill="1" applyBorder="1" applyAlignment="1" applyProtection="1">
      <alignment horizontal="center" vertical="center" wrapText="1" shrinkToFit="1"/>
    </xf>
    <xf numFmtId="0" fontId="8" fillId="2" borderId="14" xfId="3" applyNumberFormat="1" applyFont="1" applyFill="1" applyBorder="1" applyAlignment="1" applyProtection="1">
      <alignment horizontal="center" vertical="center"/>
    </xf>
    <xf numFmtId="0" fontId="8" fillId="2" borderId="15" xfId="3" applyNumberFormat="1" applyFont="1" applyFill="1" applyBorder="1" applyAlignment="1" applyProtection="1">
      <alignment horizontal="center" vertical="center"/>
    </xf>
    <xf numFmtId="0" fontId="8" fillId="2" borderId="15" xfId="3" applyNumberFormat="1" applyFont="1" applyFill="1" applyBorder="1" applyAlignment="1" applyProtection="1">
      <alignment horizontal="center" vertical="center" wrapText="1"/>
    </xf>
    <xf numFmtId="0" fontId="8" fillId="3" borderId="15" xfId="3" applyNumberFormat="1" applyFont="1" applyFill="1" applyBorder="1" applyAlignment="1" applyProtection="1">
      <alignment horizontal="center" vertical="center" wrapText="1"/>
    </xf>
    <xf numFmtId="0" fontId="10" fillId="3" borderId="15" xfId="4" applyFont="1" applyFill="1" applyBorder="1" applyAlignment="1" applyProtection="1">
      <alignment horizontal="center" vertical="center" wrapText="1"/>
    </xf>
    <xf numFmtId="0" fontId="10" fillId="3" borderId="16" xfId="4" applyFont="1" applyFill="1" applyBorder="1" applyAlignment="1" applyProtection="1">
      <alignment horizontal="center" vertical="center" wrapText="1"/>
    </xf>
    <xf numFmtId="0" fontId="10" fillId="3" borderId="17" xfId="4" applyFont="1" applyFill="1" applyBorder="1" applyAlignment="1" applyProtection="1">
      <alignment horizontal="center" vertical="center" wrapText="1"/>
    </xf>
    <xf numFmtId="0" fontId="10" fillId="3" borderId="18" xfId="4" applyFont="1" applyFill="1" applyBorder="1" applyAlignment="1" applyProtection="1">
      <alignment horizontal="center" vertical="center" wrapText="1" shrinkToFit="1"/>
    </xf>
    <xf numFmtId="0" fontId="10" fillId="3" borderId="15" xfId="4" applyFont="1" applyFill="1" applyBorder="1" applyAlignment="1" applyProtection="1">
      <alignment horizontal="center" vertical="center" wrapText="1" shrinkToFit="1"/>
    </xf>
    <xf numFmtId="0" fontId="10" fillId="3" borderId="17" xfId="4" applyFont="1" applyFill="1" applyBorder="1" applyAlignment="1" applyProtection="1">
      <alignment horizontal="center" vertical="center" shrinkToFit="1"/>
    </xf>
    <xf numFmtId="0" fontId="10" fillId="3" borderId="18" xfId="4" applyFont="1" applyFill="1" applyBorder="1" applyAlignment="1" applyProtection="1">
      <alignment horizontal="center" vertical="center" wrapText="1"/>
    </xf>
    <xf numFmtId="0" fontId="10" fillId="3" borderId="19" xfId="4" applyFont="1" applyFill="1" applyBorder="1" applyAlignment="1" applyProtection="1">
      <alignment horizontal="center" vertical="center" wrapText="1"/>
    </xf>
    <xf numFmtId="0" fontId="10" fillId="3" borderId="16" xfId="4" applyFont="1" applyFill="1" applyBorder="1" applyAlignment="1" applyProtection="1">
      <alignment horizontal="center" vertical="center" wrapText="1" shrinkToFit="1"/>
    </xf>
    <xf numFmtId="0" fontId="10" fillId="3" borderId="17" xfId="5" applyFont="1" applyFill="1" applyBorder="1" applyAlignment="1" applyProtection="1">
      <alignment horizontal="center" vertical="center" wrapText="1"/>
    </xf>
    <xf numFmtId="0" fontId="10" fillId="3" borderId="17" xfId="4" applyFont="1" applyFill="1" applyBorder="1" applyAlignment="1" applyProtection="1">
      <alignment horizontal="center" vertical="center" wrapText="1" shrinkToFit="1"/>
    </xf>
    <xf numFmtId="0" fontId="10" fillId="3" borderId="18" xfId="4" applyFont="1" applyFill="1" applyBorder="1" applyAlignment="1" applyProtection="1">
      <alignment horizontal="center" vertical="center" shrinkToFit="1"/>
    </xf>
    <xf numFmtId="0" fontId="10" fillId="3" borderId="16" xfId="4" applyFont="1" applyFill="1" applyBorder="1" applyAlignment="1" applyProtection="1">
      <alignment horizontal="center" vertical="center" shrinkToFit="1"/>
    </xf>
    <xf numFmtId="0" fontId="8" fillId="4" borderId="20" xfId="3" applyNumberFormat="1" applyFont="1" applyFill="1" applyBorder="1" applyAlignment="1" applyProtection="1">
      <alignment horizontal="center" vertical="center" wrapText="1"/>
    </xf>
    <xf numFmtId="0" fontId="8" fillId="0" borderId="2" xfId="3" applyNumberFormat="1" applyFont="1" applyFill="1" applyBorder="1" applyAlignment="1" applyProtection="1">
      <alignment horizontal="center" vertical="center" wrapText="1"/>
    </xf>
    <xf numFmtId="0" fontId="8" fillId="5" borderId="2" xfId="3" applyNumberFormat="1" applyFont="1" applyFill="1" applyBorder="1" applyAlignment="1" applyProtection="1">
      <alignment horizontal="left" vertical="center" wrapText="1" indent="1"/>
    </xf>
    <xf numFmtId="176" fontId="12" fillId="0" borderId="2" xfId="6" applyNumberFormat="1" applyFont="1" applyFill="1" applyBorder="1" applyAlignment="1" applyProtection="1">
      <alignment horizontal="center" vertical="center"/>
    </xf>
    <xf numFmtId="176" fontId="12" fillId="3" borderId="2" xfId="6" applyNumberFormat="1" applyFont="1" applyFill="1" applyBorder="1" applyAlignment="1" applyProtection="1">
      <alignment horizontal="center" vertical="center"/>
    </xf>
    <xf numFmtId="176" fontId="13" fillId="6" borderId="2" xfId="6" applyNumberFormat="1" applyFont="1" applyFill="1" applyBorder="1" applyAlignment="1" applyProtection="1">
      <alignment horizontal="center" vertical="center"/>
    </xf>
    <xf numFmtId="176" fontId="13" fillId="6" borderId="4" xfId="6" applyNumberFormat="1" applyFont="1" applyFill="1" applyBorder="1" applyAlignment="1" applyProtection="1">
      <alignment horizontal="center" vertical="center"/>
    </xf>
    <xf numFmtId="176" fontId="13" fillId="6" borderId="5" xfId="6" applyNumberFormat="1" applyFont="1" applyFill="1" applyBorder="1" applyAlignment="1" applyProtection="1">
      <alignment horizontal="center" vertical="center"/>
    </xf>
    <xf numFmtId="176" fontId="13" fillId="6" borderId="21" xfId="6" applyNumberFormat="1" applyFont="1" applyFill="1" applyBorder="1" applyAlignment="1" applyProtection="1">
      <alignment horizontal="center" vertical="center"/>
    </xf>
    <xf numFmtId="176" fontId="13" fillId="7" borderId="2" xfId="6" applyNumberFormat="1" applyFont="1" applyFill="1" applyBorder="1" applyAlignment="1" applyProtection="1">
      <alignment horizontal="center" vertical="center" wrapText="1"/>
    </xf>
    <xf numFmtId="176" fontId="14" fillId="6" borderId="2" xfId="6" applyNumberFormat="1" applyFont="1" applyFill="1" applyBorder="1" applyAlignment="1">
      <alignment horizontal="center" vertical="center" shrinkToFit="1"/>
    </xf>
    <xf numFmtId="176" fontId="14" fillId="6" borderId="5" xfId="6" applyNumberFormat="1" applyFont="1" applyFill="1" applyBorder="1" applyAlignment="1">
      <alignment horizontal="center" vertical="center" shrinkToFit="1"/>
    </xf>
    <xf numFmtId="176" fontId="13" fillId="8" borderId="21" xfId="6" applyNumberFormat="1" applyFont="1" applyFill="1" applyBorder="1" applyAlignment="1" applyProtection="1">
      <alignment horizontal="center" vertical="center"/>
    </xf>
    <xf numFmtId="176" fontId="13" fillId="8" borderId="22" xfId="6" applyNumberFormat="1" applyFont="1" applyFill="1" applyBorder="1" applyAlignment="1" applyProtection="1">
      <alignment horizontal="center" vertical="center"/>
    </xf>
    <xf numFmtId="176" fontId="13" fillId="8" borderId="4" xfId="6" applyNumberFormat="1" applyFont="1" applyFill="1" applyBorder="1" applyAlignment="1" applyProtection="1">
      <alignment horizontal="center" vertical="center"/>
    </xf>
    <xf numFmtId="176" fontId="15" fillId="8" borderId="5" xfId="6" applyNumberFormat="1" applyFont="1" applyFill="1" applyBorder="1" applyAlignment="1" applyProtection="1">
      <alignment horizontal="center" vertical="center"/>
      <protection locked="0"/>
    </xf>
    <xf numFmtId="176" fontId="15" fillId="8" borderId="21" xfId="6" applyNumberFormat="1" applyFont="1" applyFill="1" applyBorder="1" applyAlignment="1" applyProtection="1">
      <alignment horizontal="center" vertical="center"/>
      <protection locked="0"/>
    </xf>
    <xf numFmtId="176" fontId="13" fillId="8" borderId="2" xfId="6" applyNumberFormat="1" applyFont="1" applyFill="1" applyBorder="1" applyAlignment="1" applyProtection="1">
      <alignment horizontal="center" vertical="center"/>
      <protection locked="0"/>
    </xf>
    <xf numFmtId="176" fontId="13" fillId="8" borderId="2" xfId="6" applyNumberFormat="1" applyFont="1" applyFill="1" applyBorder="1" applyAlignment="1" applyProtection="1">
      <alignment horizontal="center" vertical="center"/>
    </xf>
    <xf numFmtId="176" fontId="12" fillId="6" borderId="5" xfId="6" applyNumberFormat="1" applyFont="1" applyFill="1" applyBorder="1" applyAlignment="1" applyProtection="1">
      <alignment horizontal="center" vertical="center"/>
      <protection locked="0"/>
    </xf>
    <xf numFmtId="176" fontId="12" fillId="3" borderId="21" xfId="6" applyNumberFormat="1" applyFont="1" applyFill="1" applyBorder="1" applyAlignment="1" applyProtection="1">
      <alignment horizontal="center" vertical="center"/>
      <protection locked="0"/>
    </xf>
    <xf numFmtId="176" fontId="14" fillId="7" borderId="4" xfId="6" applyNumberFormat="1" applyFont="1" applyFill="1" applyBorder="1" applyAlignment="1" applyProtection="1">
      <alignment horizontal="center" vertical="center" wrapText="1"/>
      <protection locked="0"/>
    </xf>
    <xf numFmtId="176" fontId="16" fillId="6" borderId="5" xfId="6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1" applyNumberFormat="1" applyFont="1" applyFill="1" applyAlignment="1">
      <alignment vertical="center"/>
    </xf>
    <xf numFmtId="0" fontId="8" fillId="4" borderId="23" xfId="3" applyNumberFormat="1" applyFont="1" applyFill="1" applyBorder="1" applyAlignment="1" applyProtection="1">
      <alignment horizontal="center" vertical="center" wrapText="1"/>
    </xf>
    <xf numFmtId="0" fontId="8" fillId="0" borderId="24" xfId="3" applyNumberFormat="1" applyFont="1" applyFill="1" applyBorder="1" applyAlignment="1" applyProtection="1">
      <alignment horizontal="center" vertical="center" wrapText="1"/>
    </xf>
    <xf numFmtId="0" fontId="8" fillId="5" borderId="24" xfId="3" applyNumberFormat="1" applyFont="1" applyFill="1" applyBorder="1" applyAlignment="1" applyProtection="1">
      <alignment horizontal="left" vertical="center" wrapText="1" indent="1"/>
    </xf>
    <xf numFmtId="176" fontId="12" fillId="0" borderId="24" xfId="6" applyNumberFormat="1" applyFont="1" applyFill="1" applyBorder="1" applyAlignment="1" applyProtection="1">
      <alignment horizontal="center" vertical="center"/>
    </xf>
    <xf numFmtId="176" fontId="12" fillId="3" borderId="24" xfId="6" applyNumberFormat="1" applyFont="1" applyFill="1" applyBorder="1" applyAlignment="1" applyProtection="1">
      <alignment horizontal="center" vertical="center"/>
    </xf>
    <xf numFmtId="176" fontId="13" fillId="6" borderId="24" xfId="6" applyNumberFormat="1" applyFont="1" applyFill="1" applyBorder="1" applyAlignment="1" applyProtection="1">
      <alignment horizontal="center" vertical="center"/>
    </xf>
    <xf numFmtId="176" fontId="13" fillId="6" borderId="25" xfId="6" applyNumberFormat="1" applyFont="1" applyFill="1" applyBorder="1" applyAlignment="1" applyProtection="1">
      <alignment horizontal="center" vertical="center"/>
    </xf>
    <xf numFmtId="176" fontId="13" fillId="6" borderId="26" xfId="6" applyNumberFormat="1" applyFont="1" applyFill="1" applyBorder="1" applyAlignment="1" applyProtection="1">
      <alignment horizontal="center" vertical="center"/>
    </xf>
    <xf numFmtId="176" fontId="13" fillId="6" borderId="27" xfId="6" applyNumberFormat="1" applyFont="1" applyFill="1" applyBorder="1" applyAlignment="1" applyProtection="1">
      <alignment horizontal="center" vertical="center"/>
    </xf>
    <xf numFmtId="176" fontId="13" fillId="7" borderId="24" xfId="6" applyNumberFormat="1" applyFont="1" applyFill="1" applyBorder="1" applyAlignment="1" applyProtection="1">
      <alignment horizontal="center" vertical="center" wrapText="1"/>
    </xf>
    <xf numFmtId="176" fontId="14" fillId="6" borderId="24" xfId="6" applyNumberFormat="1" applyFont="1" applyFill="1" applyBorder="1" applyAlignment="1">
      <alignment horizontal="center" vertical="center" shrinkToFit="1"/>
    </xf>
    <xf numFmtId="176" fontId="14" fillId="6" borderId="26" xfId="6" applyNumberFormat="1" applyFont="1" applyFill="1" applyBorder="1" applyAlignment="1">
      <alignment horizontal="center" vertical="center" shrinkToFit="1"/>
    </xf>
    <xf numFmtId="176" fontId="13" fillId="8" borderId="27" xfId="6" applyNumberFormat="1" applyFont="1" applyFill="1" applyBorder="1" applyAlignment="1" applyProtection="1">
      <alignment horizontal="center" vertical="center"/>
    </xf>
    <xf numFmtId="176" fontId="13" fillId="8" borderId="28" xfId="6" applyNumberFormat="1" applyFont="1" applyFill="1" applyBorder="1" applyAlignment="1" applyProtection="1">
      <alignment horizontal="center" vertical="center"/>
    </xf>
    <xf numFmtId="176" fontId="13" fillId="8" borderId="25" xfId="6" applyNumberFormat="1" applyFont="1" applyFill="1" applyBorder="1" applyAlignment="1" applyProtection="1">
      <alignment horizontal="center" vertical="center"/>
    </xf>
    <xf numFmtId="176" fontId="15" fillId="8" borderId="26" xfId="6" applyNumberFormat="1" applyFont="1" applyFill="1" applyBorder="1" applyAlignment="1" applyProtection="1">
      <alignment horizontal="center" vertical="center"/>
      <protection locked="0"/>
    </xf>
    <xf numFmtId="176" fontId="15" fillId="8" borderId="27" xfId="6" applyNumberFormat="1" applyFont="1" applyFill="1" applyBorder="1" applyAlignment="1" applyProtection="1">
      <alignment horizontal="center" vertical="center"/>
      <protection locked="0"/>
    </xf>
    <xf numFmtId="176" fontId="13" fillId="8" borderId="24" xfId="6" applyNumberFormat="1" applyFont="1" applyFill="1" applyBorder="1" applyAlignment="1" applyProtection="1">
      <alignment horizontal="center" vertical="center"/>
      <protection locked="0"/>
    </xf>
    <xf numFmtId="176" fontId="13" fillId="8" borderId="24" xfId="6" applyNumberFormat="1" applyFont="1" applyFill="1" applyBorder="1" applyAlignment="1" applyProtection="1">
      <alignment horizontal="center" vertical="center"/>
    </xf>
    <xf numFmtId="176" fontId="12" fillId="6" borderId="26" xfId="6" applyNumberFormat="1" applyFont="1" applyFill="1" applyBorder="1" applyAlignment="1" applyProtection="1">
      <alignment horizontal="center" vertical="center"/>
      <protection locked="0"/>
    </xf>
    <xf numFmtId="176" fontId="12" fillId="3" borderId="27" xfId="6" applyNumberFormat="1" applyFont="1" applyFill="1" applyBorder="1" applyAlignment="1" applyProtection="1">
      <alignment horizontal="center" vertical="center"/>
      <protection locked="0"/>
    </xf>
    <xf numFmtId="176" fontId="14" fillId="7" borderId="25" xfId="6" applyNumberFormat="1" applyFont="1" applyFill="1" applyBorder="1" applyAlignment="1" applyProtection="1">
      <alignment horizontal="center" vertical="center" wrapText="1"/>
      <protection locked="0"/>
    </xf>
    <xf numFmtId="176" fontId="16" fillId="6" borderId="26" xfId="6" applyNumberFormat="1" applyFont="1" applyFill="1" applyBorder="1" applyAlignment="1" applyProtection="1">
      <alignment horizontal="center" vertical="center" shrinkToFit="1"/>
      <protection locked="0"/>
    </xf>
    <xf numFmtId="0" fontId="8" fillId="0" borderId="7" xfId="3" applyNumberFormat="1" applyFont="1" applyFill="1" applyBorder="1" applyAlignment="1" applyProtection="1">
      <alignment horizontal="center" vertical="center" wrapText="1"/>
    </xf>
    <xf numFmtId="0" fontId="8" fillId="5" borderId="7" xfId="3" applyNumberFormat="1" applyFont="1" applyFill="1" applyBorder="1" applyAlignment="1" applyProtection="1">
      <alignment horizontal="left" vertical="center" wrapText="1" indent="1"/>
    </xf>
    <xf numFmtId="176" fontId="12" fillId="0" borderId="7" xfId="6" applyNumberFormat="1" applyFont="1" applyFill="1" applyBorder="1" applyAlignment="1" applyProtection="1">
      <alignment horizontal="center" vertical="center"/>
    </xf>
    <xf numFmtId="176" fontId="12" fillId="3" borderId="7" xfId="6" applyNumberFormat="1" applyFont="1" applyFill="1" applyBorder="1" applyAlignment="1" applyProtection="1">
      <alignment horizontal="center" vertical="center"/>
    </xf>
    <xf numFmtId="176" fontId="17" fillId="0" borderId="7" xfId="6" applyNumberFormat="1" applyFont="1" applyFill="1" applyBorder="1" applyAlignment="1" applyProtection="1">
      <alignment horizontal="center" vertical="center"/>
    </xf>
    <xf numFmtId="176" fontId="13" fillId="6" borderId="7" xfId="6" applyNumberFormat="1" applyFont="1" applyFill="1" applyBorder="1" applyAlignment="1" applyProtection="1">
      <alignment horizontal="center" vertical="center"/>
    </xf>
    <xf numFmtId="176" fontId="13" fillId="6" borderId="9" xfId="6" applyNumberFormat="1" applyFont="1" applyFill="1" applyBorder="1" applyAlignment="1" applyProtection="1">
      <alignment horizontal="center" vertical="center"/>
      <protection locked="0"/>
    </xf>
    <xf numFmtId="176" fontId="13" fillId="6" borderId="11" xfId="6" applyNumberFormat="1" applyFont="1" applyFill="1" applyBorder="1" applyAlignment="1" applyProtection="1">
      <alignment horizontal="center" vertical="center"/>
      <protection locked="0"/>
    </xf>
    <xf numFmtId="176" fontId="13" fillId="6" borderId="7" xfId="6" applyNumberFormat="1" applyFont="1" applyFill="1" applyBorder="1" applyAlignment="1" applyProtection="1">
      <alignment horizontal="center" vertical="center"/>
      <protection locked="0"/>
    </xf>
    <xf numFmtId="176" fontId="13" fillId="7" borderId="7" xfId="6" applyNumberFormat="1" applyFont="1" applyFill="1" applyBorder="1" applyAlignment="1" applyProtection="1">
      <alignment horizontal="center" vertical="center" wrapText="1"/>
    </xf>
    <xf numFmtId="176" fontId="14" fillId="6" borderId="7" xfId="6" applyNumberFormat="1" applyFont="1" applyFill="1" applyBorder="1" applyAlignment="1">
      <alignment horizontal="center" vertical="center" shrinkToFit="1"/>
    </xf>
    <xf numFmtId="176" fontId="14" fillId="6" borderId="11" xfId="6" applyNumberFormat="1" applyFont="1" applyFill="1" applyBorder="1" applyAlignment="1">
      <alignment horizontal="center" vertical="center" shrinkToFit="1"/>
    </xf>
    <xf numFmtId="176" fontId="13" fillId="8" borderId="10" xfId="6" applyNumberFormat="1" applyFont="1" applyFill="1" applyBorder="1" applyAlignment="1" applyProtection="1">
      <alignment horizontal="center" vertical="center"/>
      <protection locked="0"/>
    </xf>
    <xf numFmtId="176" fontId="13" fillId="8" borderId="13" xfId="6" applyNumberFormat="1" applyFont="1" applyFill="1" applyBorder="1" applyAlignment="1" applyProtection="1">
      <alignment horizontal="center" vertical="center"/>
      <protection locked="0"/>
    </xf>
    <xf numFmtId="176" fontId="13" fillId="8" borderId="9" xfId="6" applyNumberFormat="1" applyFont="1" applyFill="1" applyBorder="1" applyAlignment="1" applyProtection="1">
      <alignment horizontal="center" vertical="center"/>
      <protection locked="0"/>
    </xf>
    <xf numFmtId="176" fontId="15" fillId="8" borderId="11" xfId="6" applyNumberFormat="1" applyFont="1" applyFill="1" applyBorder="1" applyAlignment="1" applyProtection="1">
      <alignment horizontal="center" vertical="center"/>
      <protection locked="0"/>
    </xf>
    <xf numFmtId="176" fontId="15" fillId="8" borderId="10" xfId="6" applyNumberFormat="1" applyFont="1" applyFill="1" applyBorder="1" applyAlignment="1" applyProtection="1">
      <alignment horizontal="center" vertical="center"/>
      <protection locked="0"/>
    </xf>
    <xf numFmtId="176" fontId="13" fillId="8" borderId="7" xfId="6" applyNumberFormat="1" applyFont="1" applyFill="1" applyBorder="1" applyAlignment="1" applyProtection="1">
      <alignment horizontal="center" vertical="center"/>
      <protection locked="0"/>
    </xf>
    <xf numFmtId="176" fontId="12" fillId="6" borderId="11" xfId="6" applyNumberFormat="1" applyFont="1" applyFill="1" applyBorder="1" applyAlignment="1" applyProtection="1">
      <alignment horizontal="center" vertical="center"/>
      <protection locked="0"/>
    </xf>
    <xf numFmtId="176" fontId="12" fillId="3" borderId="10" xfId="6" applyNumberFormat="1" applyFont="1" applyFill="1" applyBorder="1" applyAlignment="1" applyProtection="1">
      <alignment horizontal="center" vertical="center"/>
      <protection locked="0"/>
    </xf>
    <xf numFmtId="176" fontId="14" fillId="7" borderId="9" xfId="6" applyNumberFormat="1" applyFont="1" applyFill="1" applyBorder="1" applyAlignment="1" applyProtection="1">
      <alignment horizontal="center" vertical="center" wrapText="1"/>
      <protection locked="0"/>
    </xf>
    <xf numFmtId="176" fontId="16" fillId="6" borderId="11" xfId="6" applyNumberFormat="1" applyFont="1" applyFill="1" applyBorder="1" applyAlignment="1" applyProtection="1">
      <alignment horizontal="center" vertical="center" shrinkToFit="1"/>
      <protection locked="0"/>
    </xf>
    <xf numFmtId="0" fontId="18" fillId="5" borderId="7" xfId="4" applyFont="1" applyFill="1" applyBorder="1" applyAlignment="1" applyProtection="1">
      <alignment horizontal="left" vertical="center" wrapText="1" indent="1"/>
    </xf>
    <xf numFmtId="176" fontId="13" fillId="6" borderId="9" xfId="6" applyNumberFormat="1" applyFont="1" applyFill="1" applyBorder="1" applyAlignment="1" applyProtection="1">
      <alignment horizontal="center" vertical="center"/>
    </xf>
    <xf numFmtId="176" fontId="13" fillId="6" borderId="11" xfId="6" applyNumberFormat="1" applyFont="1" applyFill="1" applyBorder="1" applyAlignment="1" applyProtection="1">
      <alignment horizontal="center" vertical="center"/>
    </xf>
    <xf numFmtId="176" fontId="13" fillId="6" borderId="10" xfId="6" applyNumberFormat="1" applyFont="1" applyFill="1" applyBorder="1" applyAlignment="1" applyProtection="1">
      <alignment horizontal="center" vertical="center"/>
    </xf>
    <xf numFmtId="176" fontId="13" fillId="8" borderId="10" xfId="6" applyNumberFormat="1" applyFont="1" applyFill="1" applyBorder="1" applyAlignment="1" applyProtection="1">
      <alignment horizontal="center" vertical="center"/>
    </xf>
    <xf numFmtId="176" fontId="13" fillId="8" borderId="13" xfId="6" applyNumberFormat="1" applyFont="1" applyFill="1" applyBorder="1" applyAlignment="1" applyProtection="1">
      <alignment horizontal="center" vertical="center"/>
    </xf>
    <xf numFmtId="176" fontId="13" fillId="8" borderId="9" xfId="6" applyNumberFormat="1" applyFont="1" applyFill="1" applyBorder="1" applyAlignment="1" applyProtection="1">
      <alignment horizontal="center" vertical="center"/>
    </xf>
    <xf numFmtId="176" fontId="13" fillId="8" borderId="7" xfId="6" applyNumberFormat="1" applyFont="1" applyFill="1" applyBorder="1" applyAlignment="1" applyProtection="1">
      <alignment horizontal="center" vertical="center"/>
    </xf>
    <xf numFmtId="0" fontId="19" fillId="5" borderId="7" xfId="4" applyFont="1" applyFill="1" applyBorder="1" applyAlignment="1" applyProtection="1">
      <alignment horizontal="left" vertical="center" wrapText="1" indent="1"/>
    </xf>
    <xf numFmtId="0" fontId="8" fillId="4" borderId="29" xfId="3" applyNumberFormat="1" applyFont="1" applyFill="1" applyBorder="1" applyAlignment="1" applyProtection="1">
      <alignment horizontal="center" vertical="center" wrapText="1"/>
    </xf>
    <xf numFmtId="0" fontId="8" fillId="0" borderId="6" xfId="1" applyNumberFormat="1" applyFont="1" applyFill="1" applyBorder="1" applyAlignment="1">
      <alignment horizontal="center" vertical="center" wrapText="1"/>
    </xf>
    <xf numFmtId="0" fontId="18" fillId="8" borderId="7" xfId="4" applyFont="1" applyFill="1" applyBorder="1" applyAlignment="1" applyProtection="1">
      <alignment horizontal="left" vertical="center" wrapText="1" indent="1"/>
    </xf>
    <xf numFmtId="0" fontId="8" fillId="5" borderId="6" xfId="1" applyNumberFormat="1" applyFont="1" applyFill="1" applyBorder="1" applyAlignment="1">
      <alignment horizontal="center" vertical="center" wrapText="1"/>
    </xf>
    <xf numFmtId="0" fontId="8" fillId="5" borderId="7" xfId="3" applyNumberFormat="1" applyFont="1" applyFill="1" applyBorder="1" applyAlignment="1" applyProtection="1">
      <alignment horizontal="left" vertical="center" wrapText="1" indent="1" shrinkToFit="1"/>
    </xf>
    <xf numFmtId="176" fontId="13" fillId="0" borderId="7" xfId="6" applyNumberFormat="1" applyFont="1" applyFill="1" applyBorder="1" applyAlignment="1" applyProtection="1">
      <alignment horizontal="center" vertical="center"/>
    </xf>
    <xf numFmtId="176" fontId="13" fillId="0" borderId="9" xfId="6" applyNumberFormat="1" applyFont="1" applyFill="1" applyBorder="1" applyAlignment="1" applyProtection="1">
      <alignment horizontal="center" vertical="center"/>
      <protection locked="0"/>
    </xf>
    <xf numFmtId="176" fontId="13" fillId="0" borderId="11" xfId="6" applyNumberFormat="1" applyFont="1" applyFill="1" applyBorder="1" applyAlignment="1" applyProtection="1">
      <alignment horizontal="center" vertical="center"/>
      <protection locked="0"/>
    </xf>
    <xf numFmtId="176" fontId="13" fillId="0" borderId="10" xfId="6" applyNumberFormat="1" applyFont="1" applyFill="1" applyBorder="1" applyAlignment="1" applyProtection="1">
      <alignment horizontal="center" vertical="center"/>
      <protection locked="0"/>
    </xf>
    <xf numFmtId="176" fontId="13" fillId="0" borderId="7" xfId="6" applyNumberFormat="1" applyFont="1" applyFill="1" applyBorder="1" applyAlignment="1" applyProtection="1">
      <alignment horizontal="center" vertical="center"/>
      <protection locked="0"/>
    </xf>
    <xf numFmtId="176" fontId="14" fillId="0" borderId="7" xfId="6" applyNumberFormat="1" applyFont="1" applyFill="1" applyBorder="1" applyAlignment="1">
      <alignment horizontal="center" vertical="center" shrinkToFit="1"/>
    </xf>
    <xf numFmtId="176" fontId="14" fillId="0" borderId="11" xfId="6" applyNumberFormat="1" applyFont="1" applyFill="1" applyBorder="1" applyAlignment="1">
      <alignment horizontal="center" vertical="center" shrinkToFit="1"/>
    </xf>
    <xf numFmtId="176" fontId="13" fillId="0" borderId="13" xfId="6" applyNumberFormat="1" applyFont="1" applyFill="1" applyBorder="1" applyAlignment="1" applyProtection="1">
      <alignment horizontal="center" vertical="center"/>
      <protection locked="0"/>
    </xf>
    <xf numFmtId="176" fontId="15" fillId="0" borderId="11" xfId="6" applyNumberFormat="1" applyFont="1" applyFill="1" applyBorder="1" applyAlignment="1" applyProtection="1">
      <alignment horizontal="center" vertical="center"/>
      <protection locked="0"/>
    </xf>
    <xf numFmtId="176" fontId="12" fillId="0" borderId="11" xfId="6" applyNumberFormat="1" applyFont="1" applyFill="1" applyBorder="1" applyAlignment="1" applyProtection="1">
      <alignment horizontal="center" vertical="center"/>
      <protection locked="0"/>
    </xf>
    <xf numFmtId="0" fontId="8" fillId="9" borderId="14" xfId="3" applyNumberFormat="1" applyFont="1" applyFill="1" applyBorder="1" applyAlignment="1" applyProtection="1">
      <alignment horizontal="center" vertical="center" wrapText="1"/>
    </xf>
    <xf numFmtId="0" fontId="8" fillId="9" borderId="15" xfId="3" applyNumberFormat="1" applyFont="1" applyFill="1" applyBorder="1" applyAlignment="1" applyProtection="1">
      <alignment horizontal="center" vertical="center" wrapText="1"/>
    </xf>
    <xf numFmtId="176" fontId="12" fillId="9" borderId="15" xfId="6" applyNumberFormat="1" applyFont="1" applyFill="1" applyBorder="1" applyAlignment="1" applyProtection="1">
      <alignment horizontal="center" vertical="center"/>
    </xf>
    <xf numFmtId="176" fontId="12" fillId="3" borderId="15" xfId="6" applyNumberFormat="1" applyFont="1" applyFill="1" applyBorder="1" applyAlignment="1" applyProtection="1">
      <alignment horizontal="center" vertical="center"/>
    </xf>
    <xf numFmtId="176" fontId="15" fillId="10" borderId="15" xfId="6" applyNumberFormat="1" applyFont="1" applyFill="1" applyBorder="1" applyAlignment="1" applyProtection="1">
      <alignment horizontal="center" vertical="center"/>
    </xf>
    <xf numFmtId="176" fontId="15" fillId="10" borderId="16" xfId="6" applyNumberFormat="1" applyFont="1" applyFill="1" applyBorder="1" applyAlignment="1" applyProtection="1">
      <alignment horizontal="center" vertical="center"/>
    </xf>
    <xf numFmtId="176" fontId="15" fillId="10" borderId="17" xfId="6" applyNumberFormat="1" applyFont="1" applyFill="1" applyBorder="1" applyAlignment="1" applyProtection="1">
      <alignment horizontal="center" vertical="center"/>
    </xf>
    <xf numFmtId="176" fontId="15" fillId="10" borderId="18" xfId="6" applyNumberFormat="1" applyFont="1" applyFill="1" applyBorder="1" applyAlignment="1" applyProtection="1">
      <alignment horizontal="center" vertical="center"/>
    </xf>
    <xf numFmtId="176" fontId="12" fillId="9" borderId="17" xfId="6" applyNumberFormat="1" applyFont="1" applyFill="1" applyBorder="1" applyAlignment="1" applyProtection="1">
      <alignment horizontal="center" vertical="center"/>
    </xf>
    <xf numFmtId="176" fontId="12" fillId="3" borderId="18" xfId="6" applyNumberFormat="1" applyFont="1" applyFill="1" applyBorder="1" applyAlignment="1" applyProtection="1">
      <alignment horizontal="center" vertical="center"/>
    </xf>
    <xf numFmtId="176" fontId="12" fillId="9" borderId="16" xfId="6" applyNumberFormat="1" applyFont="1" applyFill="1" applyBorder="1" applyAlignment="1" applyProtection="1">
      <alignment horizontal="center" vertical="center"/>
    </xf>
    <xf numFmtId="176" fontId="16" fillId="9" borderId="17" xfId="6" applyNumberFormat="1" applyFont="1" applyFill="1" applyBorder="1" applyAlignment="1" applyProtection="1">
      <alignment horizontal="center" vertical="center"/>
    </xf>
    <xf numFmtId="0" fontId="8" fillId="8" borderId="23" xfId="3" applyNumberFormat="1" applyFont="1" applyFill="1" applyBorder="1" applyAlignment="1" applyProtection="1">
      <alignment horizontal="center" vertical="center" wrapText="1"/>
    </xf>
    <xf numFmtId="0" fontId="8" fillId="0" borderId="24" xfId="3" applyNumberFormat="1" applyFont="1" applyFill="1" applyBorder="1" applyAlignment="1" applyProtection="1">
      <alignment horizontal="center" vertical="center" wrapText="1"/>
    </xf>
    <xf numFmtId="0" fontId="8" fillId="8" borderId="24" xfId="3" applyNumberFormat="1" applyFont="1" applyFill="1" applyBorder="1" applyAlignment="1" applyProtection="1">
      <alignment horizontal="left" vertical="center" indent="1"/>
    </xf>
    <xf numFmtId="176" fontId="15" fillId="0" borderId="10" xfId="6" applyNumberFormat="1" applyFont="1" applyFill="1" applyBorder="1" applyAlignment="1" applyProtection="1">
      <alignment horizontal="center" vertical="center"/>
      <protection locked="0"/>
    </xf>
    <xf numFmtId="176" fontId="12" fillId="0" borderId="9" xfId="6" applyNumberFormat="1" applyFont="1" applyFill="1" applyBorder="1" applyAlignment="1" applyProtection="1">
      <alignment horizontal="center" vertical="center" wrapText="1"/>
      <protection locked="0"/>
    </xf>
    <xf numFmtId="176" fontId="16" fillId="0" borderId="11" xfId="6" applyNumberFormat="1" applyFont="1" applyFill="1" applyBorder="1" applyAlignment="1" applyProtection="1">
      <alignment horizontal="center" vertical="center" shrinkToFit="1"/>
      <protection locked="0"/>
    </xf>
    <xf numFmtId="0" fontId="11" fillId="6" borderId="0" xfId="1" applyNumberFormat="1" applyFont="1" applyFill="1" applyAlignment="1">
      <alignment vertical="center"/>
    </xf>
    <xf numFmtId="0" fontId="8" fillId="0" borderId="7" xfId="3" applyNumberFormat="1" applyFont="1" applyFill="1" applyBorder="1" applyAlignment="1" applyProtection="1">
      <alignment horizontal="center" vertical="center" wrapText="1"/>
    </xf>
    <xf numFmtId="0" fontId="8" fillId="8" borderId="8" xfId="3" applyNumberFormat="1" applyFont="1" applyFill="1" applyBorder="1" applyAlignment="1" applyProtection="1">
      <alignment horizontal="left" vertical="center" indent="1"/>
    </xf>
    <xf numFmtId="176" fontId="12" fillId="0" borderId="8" xfId="6" applyNumberFormat="1" applyFont="1" applyFill="1" applyBorder="1" applyAlignment="1" applyProtection="1">
      <alignment horizontal="center" vertical="center"/>
    </xf>
    <xf numFmtId="176" fontId="12" fillId="3" borderId="8" xfId="7" applyNumberFormat="1" applyFont="1" applyFill="1" applyBorder="1" applyAlignment="1" applyProtection="1">
      <alignment horizontal="center" vertical="center"/>
    </xf>
    <xf numFmtId="176" fontId="13" fillId="0" borderId="8" xfId="7" applyNumberFormat="1" applyFont="1" applyFill="1" applyBorder="1" applyAlignment="1" applyProtection="1">
      <alignment horizontal="center" vertical="center"/>
    </xf>
    <xf numFmtId="176" fontId="13" fillId="0" borderId="30" xfId="7" applyNumberFormat="1" applyFont="1" applyFill="1" applyBorder="1" applyAlignment="1" applyProtection="1">
      <alignment horizontal="center" vertical="center"/>
      <protection locked="0"/>
    </xf>
    <xf numFmtId="176" fontId="13" fillId="0" borderId="31" xfId="7" applyNumberFormat="1" applyFont="1" applyFill="1" applyBorder="1" applyAlignment="1" applyProtection="1">
      <alignment horizontal="center" vertical="center"/>
      <protection locked="0"/>
    </xf>
    <xf numFmtId="176" fontId="13" fillId="0" borderId="32" xfId="7" applyNumberFormat="1" applyFont="1" applyFill="1" applyBorder="1" applyAlignment="1" applyProtection="1">
      <alignment horizontal="center" vertical="center"/>
      <protection locked="0"/>
    </xf>
    <xf numFmtId="176" fontId="13" fillId="0" borderId="8" xfId="7" applyNumberFormat="1" applyFont="1" applyFill="1" applyBorder="1" applyAlignment="1" applyProtection="1">
      <alignment horizontal="center" vertical="center"/>
      <protection locked="0"/>
    </xf>
    <xf numFmtId="176" fontId="13" fillId="0" borderId="8" xfId="6" applyNumberFormat="1" applyFont="1" applyFill="1" applyBorder="1" applyAlignment="1" applyProtection="1">
      <alignment horizontal="center" vertical="center"/>
    </xf>
    <xf numFmtId="176" fontId="14" fillId="0" borderId="7" xfId="7" applyNumberFormat="1" applyFont="1" applyFill="1" applyBorder="1" applyAlignment="1">
      <alignment horizontal="center" vertical="center" shrinkToFit="1"/>
    </xf>
    <xf numFmtId="176" fontId="13" fillId="0" borderId="33" xfId="7" applyNumberFormat="1" applyFont="1" applyFill="1" applyBorder="1" applyAlignment="1" applyProtection="1">
      <alignment horizontal="center" vertical="center"/>
      <protection locked="0"/>
    </xf>
    <xf numFmtId="176" fontId="15" fillId="0" borderId="31" xfId="7" applyNumberFormat="1" applyFont="1" applyFill="1" applyBorder="1" applyAlignment="1" applyProtection="1">
      <alignment horizontal="center" vertical="center"/>
      <protection locked="0"/>
    </xf>
    <xf numFmtId="176" fontId="15" fillId="0" borderId="32" xfId="7" applyNumberFormat="1" applyFont="1" applyFill="1" applyBorder="1" applyAlignment="1" applyProtection="1">
      <alignment horizontal="center" vertical="center"/>
      <protection locked="0"/>
    </xf>
    <xf numFmtId="176" fontId="12" fillId="0" borderId="31" xfId="7" applyNumberFormat="1" applyFont="1" applyFill="1" applyBorder="1" applyAlignment="1" applyProtection="1">
      <alignment horizontal="center" vertical="center"/>
      <protection locked="0"/>
    </xf>
    <xf numFmtId="176" fontId="12" fillId="0" borderId="30" xfId="6" applyNumberFormat="1" applyFont="1" applyFill="1" applyBorder="1" applyAlignment="1" applyProtection="1">
      <alignment horizontal="center" vertical="center"/>
      <protection locked="0"/>
    </xf>
    <xf numFmtId="176" fontId="16" fillId="0" borderId="31" xfId="7" applyNumberFormat="1" applyFont="1" applyFill="1" applyBorder="1" applyAlignment="1" applyProtection="1">
      <alignment horizontal="center" vertical="center" shrinkToFit="1"/>
      <protection locked="0"/>
    </xf>
    <xf numFmtId="0" fontId="20" fillId="6" borderId="0" xfId="8" applyNumberFormat="1" applyFill="1" applyAlignment="1">
      <alignment vertical="center"/>
    </xf>
    <xf numFmtId="0" fontId="8" fillId="8" borderId="7" xfId="3" applyNumberFormat="1" applyFont="1" applyFill="1" applyBorder="1" applyAlignment="1" applyProtection="1">
      <alignment horizontal="left" vertical="center" indent="1"/>
    </xf>
    <xf numFmtId="176" fontId="12" fillId="3" borderId="7" xfId="7" applyNumberFormat="1" applyFont="1" applyFill="1" applyBorder="1" applyAlignment="1" applyProtection="1">
      <alignment horizontal="center" vertical="center"/>
    </xf>
    <xf numFmtId="176" fontId="13" fillId="0" borderId="7" xfId="7" applyNumberFormat="1" applyFont="1" applyFill="1" applyBorder="1" applyAlignment="1" applyProtection="1">
      <alignment horizontal="center" vertical="center"/>
    </xf>
    <xf numFmtId="176" fontId="13" fillId="0" borderId="9" xfId="7" applyNumberFormat="1" applyFont="1" applyFill="1" applyBorder="1" applyAlignment="1" applyProtection="1">
      <alignment horizontal="center" vertical="center"/>
      <protection locked="0"/>
    </xf>
    <xf numFmtId="176" fontId="13" fillId="0" borderId="11" xfId="7" applyNumberFormat="1" applyFont="1" applyFill="1" applyBorder="1" applyAlignment="1" applyProtection="1">
      <alignment horizontal="center" vertical="center"/>
      <protection locked="0"/>
    </xf>
    <xf numFmtId="176" fontId="13" fillId="0" borderId="10" xfId="7" applyNumberFormat="1" applyFont="1" applyFill="1" applyBorder="1" applyAlignment="1" applyProtection="1">
      <alignment horizontal="center" vertical="center"/>
      <protection locked="0"/>
    </xf>
    <xf numFmtId="176" fontId="13" fillId="0" borderId="7" xfId="7" applyNumberFormat="1" applyFont="1" applyFill="1" applyBorder="1" applyAlignment="1" applyProtection="1">
      <alignment horizontal="center" vertical="center"/>
      <protection locked="0"/>
    </xf>
    <xf numFmtId="176" fontId="13" fillId="0" borderId="13" xfId="7" applyNumberFormat="1" applyFont="1" applyFill="1" applyBorder="1" applyAlignment="1" applyProtection="1">
      <alignment horizontal="center" vertical="center"/>
      <protection locked="0"/>
    </xf>
    <xf numFmtId="176" fontId="15" fillId="0" borderId="11" xfId="7" applyNumberFormat="1" applyFont="1" applyFill="1" applyBorder="1" applyAlignment="1" applyProtection="1">
      <alignment horizontal="center" vertical="center"/>
      <protection locked="0"/>
    </xf>
    <xf numFmtId="176" fontId="15" fillId="0" borderId="10" xfId="7" applyNumberFormat="1" applyFont="1" applyFill="1" applyBorder="1" applyAlignment="1" applyProtection="1">
      <alignment horizontal="center" vertical="center"/>
      <protection locked="0"/>
    </xf>
    <xf numFmtId="176" fontId="12" fillId="0" borderId="11" xfId="7" applyNumberFormat="1" applyFont="1" applyFill="1" applyBorder="1" applyAlignment="1" applyProtection="1">
      <alignment horizontal="center" vertical="center"/>
      <protection locked="0"/>
    </xf>
    <xf numFmtId="176" fontId="12" fillId="0" borderId="9" xfId="6" applyNumberFormat="1" applyFont="1" applyFill="1" applyBorder="1" applyAlignment="1" applyProtection="1">
      <alignment horizontal="center" vertical="center"/>
      <protection locked="0"/>
    </xf>
    <xf numFmtId="176" fontId="16" fillId="0" borderId="11" xfId="7" applyNumberFormat="1" applyFont="1" applyFill="1" applyBorder="1" applyAlignment="1" applyProtection="1">
      <alignment horizontal="center" vertical="center" shrinkToFit="1"/>
      <protection locked="0"/>
    </xf>
    <xf numFmtId="0" fontId="8" fillId="4" borderId="34" xfId="1" applyNumberFormat="1" applyFont="1" applyFill="1" applyBorder="1" applyAlignment="1">
      <alignment horizontal="center" vertical="center"/>
    </xf>
    <xf numFmtId="176" fontId="13" fillId="8" borderId="11" xfId="6" applyNumberFormat="1" applyFont="1" applyFill="1" applyBorder="1" applyAlignment="1" applyProtection="1">
      <alignment horizontal="center" vertical="center"/>
    </xf>
    <xf numFmtId="176" fontId="13" fillId="3" borderId="8" xfId="6" applyNumberFormat="1" applyFont="1" applyFill="1" applyBorder="1" applyAlignment="1" applyProtection="1">
      <alignment horizontal="center" vertical="center" wrapText="1"/>
    </xf>
    <xf numFmtId="176" fontId="14" fillId="8" borderId="11" xfId="6" applyNumberFormat="1" applyFont="1" applyFill="1" applyBorder="1" applyAlignment="1">
      <alignment horizontal="center" vertical="center" shrinkToFit="1"/>
    </xf>
    <xf numFmtId="176" fontId="14" fillId="3" borderId="35" xfId="6" applyNumberFormat="1" applyFont="1" applyFill="1" applyBorder="1" applyAlignment="1" applyProtection="1">
      <alignment horizontal="center" vertical="center" wrapText="1"/>
      <protection locked="0"/>
    </xf>
    <xf numFmtId="0" fontId="8" fillId="4" borderId="23" xfId="1" applyNumberFormat="1" applyFont="1" applyFill="1" applyBorder="1" applyAlignment="1">
      <alignment horizontal="center" vertical="center"/>
    </xf>
    <xf numFmtId="176" fontId="13" fillId="8" borderId="11" xfId="6" applyNumberFormat="1" applyFont="1" applyFill="1" applyBorder="1" applyAlignment="1" applyProtection="1">
      <alignment horizontal="center" vertical="center"/>
      <protection locked="0"/>
    </xf>
    <xf numFmtId="176" fontId="13" fillId="3" borderId="36" xfId="6" applyNumberFormat="1" applyFont="1" applyFill="1" applyBorder="1" applyAlignment="1" applyProtection="1">
      <alignment horizontal="center" vertical="center" wrapText="1"/>
    </xf>
    <xf numFmtId="176" fontId="13" fillId="8" borderId="9" xfId="6" applyNumberFormat="1" applyFont="1" applyFill="1" applyBorder="1" applyAlignment="1" applyProtection="1">
      <alignment horizontal="center" vertical="center" wrapText="1"/>
      <protection locked="0"/>
    </xf>
    <xf numFmtId="176" fontId="14" fillId="3" borderId="37" xfId="6" applyNumberFormat="1" applyFont="1" applyFill="1" applyBorder="1" applyAlignment="1" applyProtection="1">
      <alignment horizontal="center" vertical="center" wrapText="1"/>
      <protection locked="0"/>
    </xf>
    <xf numFmtId="0" fontId="8" fillId="4" borderId="29" xfId="1" applyNumberFormat="1" applyFont="1" applyFill="1" applyBorder="1" applyAlignment="1">
      <alignment horizontal="center" vertical="center"/>
    </xf>
    <xf numFmtId="0" fontId="8" fillId="5" borderId="7" xfId="3" applyNumberFormat="1" applyFont="1" applyFill="1" applyBorder="1" applyAlignment="1" applyProtection="1">
      <alignment horizontal="left" vertical="center" indent="1"/>
    </xf>
    <xf numFmtId="176" fontId="13" fillId="3" borderId="24" xfId="6" applyNumberFormat="1" applyFont="1" applyFill="1" applyBorder="1" applyAlignment="1" applyProtection="1">
      <alignment horizontal="center" vertical="center" wrapText="1"/>
    </xf>
    <xf numFmtId="176" fontId="14" fillId="0" borderId="11" xfId="7" applyNumberFormat="1" applyFont="1" applyFill="1" applyBorder="1" applyAlignment="1">
      <alignment horizontal="center" vertical="center" shrinkToFit="1"/>
    </xf>
    <xf numFmtId="176" fontId="13" fillId="8" borderId="10" xfId="7" applyNumberFormat="1" applyFont="1" applyFill="1" applyBorder="1" applyAlignment="1" applyProtection="1">
      <alignment horizontal="center" vertical="center"/>
      <protection locked="0"/>
    </xf>
    <xf numFmtId="176" fontId="14" fillId="3" borderId="38" xfId="6" applyNumberFormat="1" applyFont="1" applyFill="1" applyBorder="1" applyAlignment="1" applyProtection="1">
      <alignment horizontal="center" vertical="center" wrapText="1"/>
      <protection locked="0"/>
    </xf>
    <xf numFmtId="0" fontId="8" fillId="5" borderId="20" xfId="1" applyNumberFormat="1" applyFont="1" applyFill="1" applyBorder="1" applyAlignment="1">
      <alignment horizontal="center" vertical="center"/>
    </xf>
    <xf numFmtId="0" fontId="8" fillId="0" borderId="8" xfId="3" applyNumberFormat="1" applyFont="1" applyFill="1" applyBorder="1" applyAlignment="1" applyProtection="1">
      <alignment horizontal="center" vertical="center" wrapText="1"/>
    </xf>
    <xf numFmtId="176" fontId="13" fillId="12" borderId="7" xfId="6" applyNumberFormat="1" applyFont="1" applyFill="1" applyBorder="1" applyAlignment="1" applyProtection="1">
      <alignment horizontal="center" vertical="center" wrapText="1"/>
      <protection locked="0"/>
    </xf>
    <xf numFmtId="176" fontId="14" fillId="0" borderId="2" xfId="6" applyNumberFormat="1" applyFont="1" applyFill="1" applyBorder="1" applyAlignment="1">
      <alignment horizontal="center" vertical="center" shrinkToFit="1"/>
    </xf>
    <xf numFmtId="176" fontId="17" fillId="0" borderId="9" xfId="6" applyNumberFormat="1" applyFont="1" applyFill="1" applyBorder="1" applyAlignment="1" applyProtection="1">
      <alignment horizontal="center" vertical="center"/>
    </xf>
    <xf numFmtId="176" fontId="12" fillId="12" borderId="39" xfId="6" applyNumberFormat="1" applyFont="1" applyFill="1" applyBorder="1" applyAlignment="1" applyProtection="1">
      <alignment horizontal="center" vertical="center" wrapText="1"/>
      <protection locked="0"/>
    </xf>
    <xf numFmtId="0" fontId="8" fillId="5" borderId="23" xfId="1" applyNumberFormat="1" applyFont="1" applyFill="1" applyBorder="1" applyAlignment="1">
      <alignment horizontal="center" vertical="center"/>
    </xf>
    <xf numFmtId="0" fontId="8" fillId="0" borderId="36" xfId="3" applyNumberFormat="1" applyFont="1" applyFill="1" applyBorder="1" applyAlignment="1" applyProtection="1">
      <alignment horizontal="center" vertical="center" wrapText="1"/>
    </xf>
    <xf numFmtId="176" fontId="13" fillId="12" borderId="7" xfId="6" applyNumberFormat="1" applyFont="1" applyFill="1" applyBorder="1" applyAlignment="1" applyProtection="1">
      <alignment horizontal="center" vertical="center"/>
      <protection locked="0"/>
    </xf>
    <xf numFmtId="176" fontId="12" fillId="12" borderId="37" xfId="6" applyNumberFormat="1" applyFont="1" applyFill="1" applyBorder="1" applyAlignment="1" applyProtection="1">
      <alignment horizontal="center" vertical="center" wrapText="1"/>
      <protection locked="0"/>
    </xf>
    <xf numFmtId="0" fontId="8" fillId="5" borderId="29" xfId="1" applyNumberFormat="1" applyFont="1" applyFill="1" applyBorder="1" applyAlignment="1">
      <alignment horizontal="center" vertical="center"/>
    </xf>
    <xf numFmtId="176" fontId="12" fillId="12" borderId="38" xfId="6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2" xfId="3" applyNumberFormat="1" applyFont="1" applyFill="1" applyBorder="1" applyAlignment="1" applyProtection="1">
      <alignment horizontal="left" vertical="center" indent="1"/>
    </xf>
    <xf numFmtId="176" fontId="13" fillId="0" borderId="4" xfId="6" applyNumberFormat="1" applyFont="1" applyFill="1" applyBorder="1" applyAlignment="1" applyProtection="1">
      <alignment horizontal="center" vertical="center"/>
      <protection locked="0"/>
    </xf>
    <xf numFmtId="176" fontId="13" fillId="0" borderId="5" xfId="6" applyNumberFormat="1" applyFont="1" applyFill="1" applyBorder="1" applyAlignment="1" applyProtection="1">
      <alignment horizontal="center" vertical="center"/>
      <protection locked="0"/>
    </xf>
    <xf numFmtId="176" fontId="13" fillId="8" borderId="21" xfId="6" applyNumberFormat="1" applyFont="1" applyFill="1" applyBorder="1" applyAlignment="1" applyProtection="1">
      <alignment horizontal="center" vertical="center"/>
      <protection locked="0"/>
    </xf>
    <xf numFmtId="176" fontId="13" fillId="0" borderId="2" xfId="6" applyNumberFormat="1" applyFont="1" applyFill="1" applyBorder="1" applyAlignment="1" applyProtection="1">
      <alignment horizontal="center" vertical="center"/>
      <protection locked="0"/>
    </xf>
    <xf numFmtId="176" fontId="13" fillId="0" borderId="2" xfId="6" applyNumberFormat="1" applyFont="1" applyFill="1" applyBorder="1" applyAlignment="1" applyProtection="1">
      <alignment horizontal="center" vertical="center"/>
    </xf>
    <xf numFmtId="176" fontId="14" fillId="0" borderId="5" xfId="6" applyNumberFormat="1" applyFont="1" applyFill="1" applyBorder="1" applyAlignment="1">
      <alignment horizontal="center" vertical="center" shrinkToFit="1"/>
    </xf>
    <xf numFmtId="176" fontId="13" fillId="0" borderId="21" xfId="6" applyNumberFormat="1" applyFont="1" applyFill="1" applyBorder="1" applyAlignment="1" applyProtection="1">
      <alignment horizontal="center" vertical="center"/>
      <protection locked="0"/>
    </xf>
    <xf numFmtId="176" fontId="13" fillId="0" borderId="22" xfId="6" applyNumberFormat="1" applyFont="1" applyFill="1" applyBorder="1" applyAlignment="1" applyProtection="1">
      <alignment horizontal="center" vertical="center"/>
      <protection locked="0"/>
    </xf>
    <xf numFmtId="176" fontId="15" fillId="0" borderId="5" xfId="6" applyNumberFormat="1" applyFont="1" applyFill="1" applyBorder="1" applyAlignment="1" applyProtection="1">
      <alignment horizontal="center" vertical="center"/>
      <protection locked="0"/>
    </xf>
    <xf numFmtId="176" fontId="15" fillId="0" borderId="21" xfId="6" applyNumberFormat="1" applyFont="1" applyFill="1" applyBorder="1" applyAlignment="1" applyProtection="1">
      <alignment horizontal="center" vertical="center"/>
      <protection locked="0"/>
    </xf>
    <xf numFmtId="176" fontId="12" fillId="0" borderId="5" xfId="6" applyNumberFormat="1" applyFont="1" applyFill="1" applyBorder="1" applyAlignment="1" applyProtection="1">
      <alignment horizontal="center" vertical="center"/>
      <protection locked="0"/>
    </xf>
    <xf numFmtId="176" fontId="12" fillId="0" borderId="4" xfId="6" applyNumberFormat="1" applyFont="1" applyFill="1" applyBorder="1" applyAlignment="1" applyProtection="1">
      <alignment horizontal="center" vertical="center"/>
      <protection locked="0"/>
    </xf>
    <xf numFmtId="176" fontId="16" fillId="0" borderId="5" xfId="6" applyNumberFormat="1" applyFont="1" applyFill="1" applyBorder="1" applyAlignment="1" applyProtection="1">
      <alignment horizontal="center" vertical="center" shrinkToFit="1"/>
      <protection locked="0"/>
    </xf>
    <xf numFmtId="0" fontId="8" fillId="0" borderId="6" xfId="1" applyNumberFormat="1" applyFont="1" applyFill="1" applyBorder="1" applyAlignment="1">
      <alignment horizontal="center" vertical="center"/>
    </xf>
    <xf numFmtId="0" fontId="8" fillId="0" borderId="7" xfId="3" applyNumberFormat="1" applyFont="1" applyFill="1" applyBorder="1" applyAlignment="1" applyProtection="1">
      <alignment horizontal="left" vertical="center" indent="1"/>
    </xf>
    <xf numFmtId="176" fontId="13" fillId="13" borderId="7" xfId="6" applyNumberFormat="1" applyFont="1" applyFill="1" applyBorder="1" applyAlignment="1" applyProtection="1">
      <alignment horizontal="center" vertical="center" wrapText="1"/>
      <protection locked="0"/>
    </xf>
    <xf numFmtId="176" fontId="14" fillId="13" borderId="9" xfId="6" applyNumberFormat="1" applyFont="1" applyFill="1" applyBorder="1" applyAlignment="1" applyProtection="1">
      <alignment horizontal="center" vertical="center" wrapText="1"/>
      <protection locked="0"/>
    </xf>
    <xf numFmtId="176" fontId="13" fillId="13" borderId="7" xfId="6" applyNumberFormat="1" applyFont="1" applyFill="1" applyBorder="1" applyAlignment="1" applyProtection="1">
      <alignment horizontal="center" vertical="center"/>
      <protection locked="0"/>
    </xf>
    <xf numFmtId="0" fontId="8" fillId="6" borderId="1" xfId="1" applyNumberFormat="1" applyFont="1" applyFill="1" applyBorder="1" applyAlignment="1">
      <alignment horizontal="center" vertical="center"/>
    </xf>
    <xf numFmtId="0" fontId="8" fillId="0" borderId="2" xfId="3" applyNumberFormat="1" applyFont="1" applyFill="1" applyBorder="1" applyAlignment="1" applyProtection="1">
      <alignment horizontal="left" vertical="center" wrapText="1" indent="1"/>
    </xf>
    <xf numFmtId="0" fontId="8" fillId="6" borderId="6" xfId="1" applyNumberFormat="1" applyFont="1" applyFill="1" applyBorder="1" applyAlignment="1">
      <alignment horizontal="center" vertical="center"/>
    </xf>
    <xf numFmtId="0" fontId="8" fillId="0" borderId="7" xfId="3" applyNumberFormat="1" applyFont="1" applyFill="1" applyBorder="1" applyAlignment="1" applyProtection="1">
      <alignment horizontal="left" vertical="center" wrapText="1" indent="1"/>
    </xf>
    <xf numFmtId="0" fontId="0" fillId="0" borderId="0" xfId="1" applyNumberFormat="1" applyFont="1" applyAlignment="1">
      <alignment vertical="center"/>
    </xf>
    <xf numFmtId="0" fontId="8" fillId="14" borderId="40" xfId="1" applyNumberFormat="1" applyFont="1" applyFill="1" applyBorder="1" applyAlignment="1">
      <alignment horizontal="center" vertical="center"/>
    </xf>
    <xf numFmtId="0" fontId="8" fillId="14" borderId="41" xfId="1" applyNumberFormat="1" applyFont="1" applyFill="1" applyBorder="1" applyAlignment="1">
      <alignment horizontal="center" vertical="center"/>
    </xf>
    <xf numFmtId="176" fontId="16" fillId="14" borderId="24" xfId="6" applyNumberFormat="1" applyFont="1" applyFill="1" applyBorder="1" applyAlignment="1" applyProtection="1">
      <alignment horizontal="center" vertical="center"/>
    </xf>
    <xf numFmtId="176" fontId="16" fillId="14" borderId="3" xfId="6" applyNumberFormat="1" applyFont="1" applyFill="1" applyBorder="1" applyAlignment="1" applyProtection="1">
      <alignment horizontal="center" vertical="center"/>
    </xf>
    <xf numFmtId="176" fontId="16" fillId="3" borderId="3" xfId="6" applyNumberFormat="1" applyFont="1" applyFill="1" applyBorder="1" applyAlignment="1" applyProtection="1">
      <alignment horizontal="center" vertical="center"/>
    </xf>
    <xf numFmtId="176" fontId="16" fillId="14" borderId="24" xfId="6" applyNumberFormat="1" applyFont="1" applyFill="1" applyBorder="1" applyAlignment="1" applyProtection="1">
      <alignment horizontal="center" vertical="center"/>
    </xf>
    <xf numFmtId="176" fontId="16" fillId="14" borderId="25" xfId="6" applyNumberFormat="1" applyFont="1" applyFill="1" applyBorder="1" applyAlignment="1" applyProtection="1">
      <alignment horizontal="center" vertical="center"/>
    </xf>
    <xf numFmtId="176" fontId="16" fillId="14" borderId="26" xfId="6" applyNumberFormat="1" applyFont="1" applyFill="1" applyBorder="1" applyAlignment="1" applyProtection="1">
      <alignment horizontal="center" vertical="center"/>
    </xf>
    <xf numFmtId="176" fontId="16" fillId="14" borderId="27" xfId="6" applyNumberFormat="1" applyFont="1" applyFill="1" applyBorder="1" applyAlignment="1" applyProtection="1">
      <alignment horizontal="center" vertical="center"/>
    </xf>
    <xf numFmtId="176" fontId="12" fillId="14" borderId="27" xfId="6" applyNumberFormat="1" applyFont="1" applyFill="1" applyBorder="1" applyAlignment="1" applyProtection="1">
      <alignment horizontal="center" vertical="center"/>
    </xf>
    <xf numFmtId="176" fontId="12" fillId="14" borderId="25" xfId="6" applyNumberFormat="1" applyFont="1" applyFill="1" applyBorder="1" applyAlignment="1" applyProtection="1">
      <alignment horizontal="center" vertical="center"/>
    </xf>
    <xf numFmtId="176" fontId="12" fillId="14" borderId="26" xfId="6" applyNumberFormat="1" applyFont="1" applyFill="1" applyBorder="1" applyAlignment="1" applyProtection="1">
      <alignment horizontal="center" vertical="center"/>
    </xf>
    <xf numFmtId="176" fontId="12" fillId="14" borderId="24" xfId="6" applyNumberFormat="1" applyFont="1" applyFill="1" applyBorder="1" applyAlignment="1" applyProtection="1">
      <alignment horizontal="center" vertical="center"/>
    </xf>
    <xf numFmtId="176" fontId="12" fillId="3" borderId="27" xfId="6" applyNumberFormat="1" applyFont="1" applyFill="1" applyBorder="1" applyAlignment="1" applyProtection="1">
      <alignment horizontal="center" vertical="center"/>
    </xf>
    <xf numFmtId="0" fontId="8" fillId="14" borderId="42" xfId="1" applyNumberFormat="1" applyFont="1" applyFill="1" applyBorder="1" applyAlignment="1">
      <alignment horizontal="center" vertical="center"/>
    </xf>
    <xf numFmtId="0" fontId="8" fillId="14" borderId="43" xfId="1" applyNumberFormat="1" applyFont="1" applyFill="1" applyBorder="1" applyAlignment="1">
      <alignment horizontal="center" vertical="center"/>
    </xf>
    <xf numFmtId="176" fontId="16" fillId="14" borderId="15" xfId="6" applyNumberFormat="1" applyFont="1" applyFill="1" applyBorder="1" applyAlignment="1" applyProtection="1">
      <alignment horizontal="center" vertical="center"/>
    </xf>
    <xf numFmtId="176" fontId="16" fillId="14" borderId="19" xfId="6" applyNumberFormat="1" applyFont="1" applyFill="1" applyBorder="1" applyAlignment="1" applyProtection="1">
      <alignment horizontal="center" vertical="center"/>
    </xf>
    <xf numFmtId="176" fontId="16" fillId="3" borderId="19" xfId="6" applyNumberFormat="1" applyFont="1" applyFill="1" applyBorder="1" applyAlignment="1" applyProtection="1">
      <alignment horizontal="center" vertical="center"/>
    </xf>
    <xf numFmtId="177" fontId="16" fillId="14" borderId="15" xfId="9" applyNumberFormat="1" applyFont="1" applyFill="1" applyBorder="1" applyAlignment="1">
      <alignment horizontal="center" vertical="center"/>
    </xf>
    <xf numFmtId="177" fontId="16" fillId="14" borderId="16" xfId="9" applyNumberFormat="1" applyFont="1" applyFill="1" applyBorder="1" applyAlignment="1">
      <alignment horizontal="center" vertical="center"/>
    </xf>
    <xf numFmtId="177" fontId="16" fillId="14" borderId="17" xfId="9" applyNumberFormat="1" applyFont="1" applyFill="1" applyBorder="1" applyAlignment="1">
      <alignment horizontal="center" vertical="center"/>
    </xf>
    <xf numFmtId="177" fontId="16" fillId="14" borderId="18" xfId="9" applyNumberFormat="1" applyFont="1" applyFill="1" applyBorder="1" applyAlignment="1">
      <alignment horizontal="center" vertical="center"/>
    </xf>
    <xf numFmtId="177" fontId="16" fillId="3" borderId="18" xfId="9" applyNumberFormat="1" applyFont="1" applyFill="1" applyBorder="1" applyAlignment="1">
      <alignment horizontal="center" vertical="center"/>
    </xf>
    <xf numFmtId="10" fontId="16" fillId="14" borderId="16" xfId="9" applyNumberFormat="1" applyFont="1" applyFill="1" applyBorder="1" applyAlignment="1">
      <alignment horizontal="center" vertical="center"/>
    </xf>
    <xf numFmtId="177" fontId="0" fillId="0" borderId="0" xfId="1" applyNumberFormat="1" applyFont="1" applyAlignment="1">
      <alignment vertical="center"/>
    </xf>
    <xf numFmtId="0" fontId="8" fillId="8" borderId="0" xfId="1" applyNumberFormat="1" applyFont="1" applyFill="1" applyBorder="1" applyAlignment="1">
      <alignment horizontal="center" vertical="center"/>
    </xf>
    <xf numFmtId="176" fontId="16" fillId="8" borderId="0" xfId="6" applyNumberFormat="1" applyFont="1" applyFill="1" applyBorder="1" applyAlignment="1" applyProtection="1">
      <alignment horizontal="center" vertical="center"/>
    </xf>
    <xf numFmtId="177" fontId="16" fillId="8" borderId="0" xfId="9" applyNumberFormat="1" applyFont="1" applyFill="1" applyBorder="1" applyAlignment="1">
      <alignment horizontal="center" vertical="center"/>
    </xf>
    <xf numFmtId="10" fontId="16" fillId="8" borderId="0" xfId="9" applyNumberFormat="1" applyFont="1" applyFill="1" applyBorder="1" applyAlignment="1">
      <alignment horizontal="center" vertical="center"/>
    </xf>
    <xf numFmtId="177" fontId="0" fillId="8" borderId="0" xfId="1" applyNumberFormat="1" applyFont="1" applyFill="1" applyAlignment="1">
      <alignment vertical="center"/>
    </xf>
    <xf numFmtId="0" fontId="0" fillId="0" borderId="0" xfId="1" applyNumberFormat="1" applyFont="1" applyAlignment="1">
      <alignment horizontal="center" vertical="center"/>
    </xf>
    <xf numFmtId="0" fontId="16" fillId="0" borderId="0" xfId="1" applyNumberFormat="1" applyFont="1" applyAlignment="1">
      <alignment vertical="center"/>
    </xf>
  </cellXfs>
  <cellStyles count="10">
    <cellStyle name="나쁨 2" xfId="8"/>
    <cellStyle name="쉼표 [0] 2 2" xfId="7"/>
    <cellStyle name="쉼표 [0] 3" xfId="6"/>
    <cellStyle name="표준" xfId="0" builtinId="0"/>
    <cellStyle name="표준 2" xfId="5"/>
    <cellStyle name="표준 2 3" xfId="1"/>
    <cellStyle name="표준 3" xfId="2"/>
    <cellStyle name="표준_2010학년도 수시2학기 모집인원-작업용 2" xfId="9"/>
    <cellStyle name="표준_Sheet1" xfId="4"/>
    <cellStyle name="표준_Shee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9109"/>
    <pageSetUpPr fitToPage="1"/>
  </sheetPr>
  <dimension ref="A1:AF44"/>
  <sheetViews>
    <sheetView tabSelected="1" zoomScale="70" zoomScaleNormal="70" workbookViewId="0">
      <pane ySplit="6" topLeftCell="A7" activePane="bottomLeft" state="frozen"/>
      <selection activeCell="J1" sqref="J1"/>
      <selection pane="bottomLeft" activeCell="G24" sqref="G24"/>
    </sheetView>
  </sheetViews>
  <sheetFormatPr defaultColWidth="9" defaultRowHeight="20.25" x14ac:dyDescent="0.3"/>
  <cols>
    <col min="1" max="1" width="9.125" style="1" customWidth="1"/>
    <col min="2" max="2" width="14" style="287" customWidth="1"/>
    <col min="3" max="3" width="30.875" style="255" customWidth="1"/>
    <col min="4" max="4" width="12.25" style="255" customWidth="1"/>
    <col min="5" max="5" width="7.5" style="255" customWidth="1"/>
    <col min="6" max="6" width="9.875" style="255" customWidth="1"/>
    <col min="7" max="7" width="9.75" style="255" customWidth="1"/>
    <col min="8" max="8" width="9.625" style="255" customWidth="1"/>
    <col min="9" max="9" width="10" style="255" customWidth="1"/>
    <col min="10" max="10" width="9" style="255" customWidth="1"/>
    <col min="11" max="13" width="10" style="255" customWidth="1"/>
    <col min="14" max="15" width="13.5" style="255" customWidth="1"/>
    <col min="16" max="16" width="10" style="255" customWidth="1"/>
    <col min="17" max="17" width="9" style="255" customWidth="1"/>
    <col min="18" max="18" width="8.125" style="255" customWidth="1"/>
    <col min="19" max="19" width="8.5" style="255" customWidth="1"/>
    <col min="20" max="20" width="8.125" style="255" customWidth="1"/>
    <col min="21" max="21" width="8.75" style="288" customWidth="1"/>
    <col min="22" max="22" width="10" style="288" customWidth="1"/>
    <col min="23" max="23" width="10" style="255" customWidth="1"/>
    <col min="24" max="24" width="10.5" style="255" customWidth="1"/>
    <col min="25" max="25" width="9.375" style="255" customWidth="1"/>
    <col min="26" max="26" width="10.125" style="255" customWidth="1"/>
    <col min="27" max="27" width="8.75" style="288" customWidth="1"/>
    <col min="28" max="28" width="10" style="288" customWidth="1"/>
    <col min="29" max="29" width="9" style="288" customWidth="1"/>
    <col min="30" max="30" width="9.5" style="288" customWidth="1"/>
    <col min="31" max="16384" width="9" style="255"/>
  </cols>
  <sheetData>
    <row r="1" spans="1:30" s="3" customFormat="1" ht="66" customHeight="1" thickBot="1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s="13" customFormat="1" ht="25.5" customHeight="1" thickBot="1" x14ac:dyDescent="0.35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8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8" t="s">
        <v>8</v>
      </c>
      <c r="W2" s="8"/>
      <c r="X2" s="8"/>
      <c r="Y2" s="8"/>
      <c r="Z2" s="8"/>
      <c r="AA2" s="9"/>
      <c r="AB2" s="10" t="s">
        <v>9</v>
      </c>
      <c r="AC2" s="11" t="s">
        <v>10</v>
      </c>
      <c r="AD2" s="12" t="s">
        <v>11</v>
      </c>
    </row>
    <row r="3" spans="1:30" s="13" customFormat="1" ht="25.5" customHeight="1" thickBot="1" x14ac:dyDescent="0.35">
      <c r="A3" s="14"/>
      <c r="B3" s="15"/>
      <c r="C3" s="15"/>
      <c r="D3" s="16"/>
      <c r="E3" s="16"/>
      <c r="F3" s="17"/>
      <c r="G3" s="18" t="s">
        <v>12</v>
      </c>
      <c r="H3" s="18"/>
      <c r="I3" s="18"/>
      <c r="J3" s="19"/>
      <c r="K3" s="20" t="s">
        <v>13</v>
      </c>
      <c r="L3" s="20"/>
      <c r="M3" s="20"/>
      <c r="N3" s="20"/>
      <c r="O3" s="20"/>
      <c r="P3" s="20"/>
      <c r="Q3" s="21"/>
      <c r="R3" s="22" t="s">
        <v>14</v>
      </c>
      <c r="S3" s="23"/>
      <c r="T3" s="23"/>
      <c r="U3" s="24" t="s">
        <v>15</v>
      </c>
      <c r="V3" s="25" t="s">
        <v>16</v>
      </c>
      <c r="W3" s="26" t="s">
        <v>17</v>
      </c>
      <c r="X3" s="26"/>
      <c r="Y3" s="26"/>
      <c r="Z3" s="27" t="s">
        <v>18</v>
      </c>
      <c r="AA3" s="12" t="s">
        <v>19</v>
      </c>
      <c r="AB3" s="28"/>
      <c r="AC3" s="29"/>
      <c r="AD3" s="30"/>
    </row>
    <row r="4" spans="1:30" s="13" customFormat="1" ht="25.5" customHeight="1" x14ac:dyDescent="0.3">
      <c r="A4" s="14"/>
      <c r="B4" s="15"/>
      <c r="C4" s="15"/>
      <c r="D4" s="16"/>
      <c r="E4" s="16"/>
      <c r="F4" s="17"/>
      <c r="G4" s="18" t="s">
        <v>20</v>
      </c>
      <c r="H4" s="18"/>
      <c r="I4" s="31"/>
      <c r="J4" s="32" t="s">
        <v>21</v>
      </c>
      <c r="K4" s="33" t="s">
        <v>20</v>
      </c>
      <c r="L4" s="34"/>
      <c r="M4" s="34"/>
      <c r="N4" s="29" t="s">
        <v>22</v>
      </c>
      <c r="O4" s="34"/>
      <c r="P4" s="28"/>
      <c r="Q4" s="12" t="s">
        <v>23</v>
      </c>
      <c r="R4" s="35" t="s">
        <v>20</v>
      </c>
      <c r="S4" s="36"/>
      <c r="T4" s="23"/>
      <c r="U4" s="37"/>
      <c r="V4" s="25" t="s">
        <v>20</v>
      </c>
      <c r="W4" s="26" t="s">
        <v>20</v>
      </c>
      <c r="X4" s="26"/>
      <c r="Y4" s="26"/>
      <c r="Z4" s="27" t="s">
        <v>20</v>
      </c>
      <c r="AA4" s="30"/>
      <c r="AB4" s="28"/>
      <c r="AC4" s="29"/>
      <c r="AD4" s="30"/>
    </row>
    <row r="5" spans="1:30" s="13" customFormat="1" ht="25.5" customHeight="1" x14ac:dyDescent="0.3">
      <c r="A5" s="14"/>
      <c r="B5" s="15"/>
      <c r="C5" s="15"/>
      <c r="D5" s="16"/>
      <c r="E5" s="16"/>
      <c r="F5" s="17"/>
      <c r="G5" s="18" t="s">
        <v>24</v>
      </c>
      <c r="H5" s="18" t="s">
        <v>25</v>
      </c>
      <c r="I5" s="31" t="s">
        <v>26</v>
      </c>
      <c r="J5" s="38"/>
      <c r="K5" s="39" t="s">
        <v>27</v>
      </c>
      <c r="L5" s="26" t="s">
        <v>28</v>
      </c>
      <c r="M5" s="26" t="s">
        <v>29</v>
      </c>
      <c r="N5" s="26" t="s">
        <v>30</v>
      </c>
      <c r="O5" s="18" t="s">
        <v>31</v>
      </c>
      <c r="P5" s="18" t="s">
        <v>32</v>
      </c>
      <c r="Q5" s="40"/>
      <c r="R5" s="41" t="s">
        <v>33</v>
      </c>
      <c r="S5" s="19" t="s">
        <v>34</v>
      </c>
      <c r="T5" s="42" t="s">
        <v>35</v>
      </c>
      <c r="U5" s="37"/>
      <c r="V5" s="39" t="s">
        <v>36</v>
      </c>
      <c r="W5" s="26" t="s">
        <v>36</v>
      </c>
      <c r="X5" s="26" t="s">
        <v>37</v>
      </c>
      <c r="Y5" s="26" t="s">
        <v>38</v>
      </c>
      <c r="Z5" s="26" t="s">
        <v>39</v>
      </c>
      <c r="AA5" s="30"/>
      <c r="AB5" s="28"/>
      <c r="AC5" s="29"/>
      <c r="AD5" s="30"/>
    </row>
    <row r="6" spans="1:30" s="13" customFormat="1" ht="25.5" customHeight="1" thickBot="1" x14ac:dyDescent="0.35">
      <c r="A6" s="43"/>
      <c r="B6" s="44"/>
      <c r="C6" s="44"/>
      <c r="D6" s="45"/>
      <c r="E6" s="45"/>
      <c r="F6" s="46"/>
      <c r="G6" s="47"/>
      <c r="H6" s="47"/>
      <c r="I6" s="48"/>
      <c r="J6" s="49"/>
      <c r="K6" s="50"/>
      <c r="L6" s="51"/>
      <c r="M6" s="51"/>
      <c r="N6" s="51"/>
      <c r="O6" s="47"/>
      <c r="P6" s="47"/>
      <c r="Q6" s="52"/>
      <c r="R6" s="53"/>
      <c r="S6" s="54"/>
      <c r="T6" s="55"/>
      <c r="U6" s="56"/>
      <c r="V6" s="50"/>
      <c r="W6" s="51"/>
      <c r="X6" s="51"/>
      <c r="Y6" s="51"/>
      <c r="Z6" s="51"/>
      <c r="AA6" s="57"/>
      <c r="AB6" s="58"/>
      <c r="AC6" s="59"/>
      <c r="AD6" s="57"/>
    </row>
    <row r="7" spans="1:30" s="83" customFormat="1" ht="25.5" customHeight="1" x14ac:dyDescent="0.3">
      <c r="A7" s="60" t="s">
        <v>40</v>
      </c>
      <c r="B7" s="61" t="s">
        <v>41</v>
      </c>
      <c r="C7" s="62" t="s">
        <v>42</v>
      </c>
      <c r="D7" s="63">
        <v>39</v>
      </c>
      <c r="E7" s="63"/>
      <c r="F7" s="64">
        <f t="shared" ref="F7:F14" si="0">D7+E7</f>
        <v>39</v>
      </c>
      <c r="G7" s="65">
        <v>6</v>
      </c>
      <c r="H7" s="65"/>
      <c r="I7" s="66">
        <v>2</v>
      </c>
      <c r="J7" s="67">
        <f t="shared" ref="J7:J41" si="1">SUM(G7:I7)</f>
        <v>8</v>
      </c>
      <c r="K7" s="68">
        <v>23</v>
      </c>
      <c r="L7" s="65">
        <v>5</v>
      </c>
      <c r="M7" s="65"/>
      <c r="N7" s="69" t="s">
        <v>43</v>
      </c>
      <c r="O7" s="69" t="s">
        <v>44</v>
      </c>
      <c r="P7" s="70" t="s">
        <v>45</v>
      </c>
      <c r="Q7" s="71">
        <f t="shared" ref="Q7:Q14" si="2">SUM(K7:M7)</f>
        <v>28</v>
      </c>
      <c r="R7" s="72"/>
      <c r="S7" s="73"/>
      <c r="T7" s="74"/>
      <c r="U7" s="75">
        <f t="shared" ref="U7:U26" si="3">J7+Q7+R7+T7</f>
        <v>36</v>
      </c>
      <c r="V7" s="76"/>
      <c r="W7" s="77">
        <v>3</v>
      </c>
      <c r="X7" s="77"/>
      <c r="Y7" s="78"/>
      <c r="Z7" s="77"/>
      <c r="AA7" s="79">
        <f t="shared" ref="AA7:AA14" si="4">SUM(V7:Z7)</f>
        <v>3</v>
      </c>
      <c r="AB7" s="80">
        <f t="shared" ref="AB7:AB26" si="5">J7+SUM(K7:M7)+R7+T7+AA7</f>
        <v>39</v>
      </c>
      <c r="AC7" s="81">
        <v>33</v>
      </c>
      <c r="AD7" s="82">
        <f t="shared" ref="AD7:AD41" si="6">U7+AA7</f>
        <v>39</v>
      </c>
    </row>
    <row r="8" spans="1:30" s="83" customFormat="1" ht="25.5" customHeight="1" x14ac:dyDescent="0.3">
      <c r="A8" s="84"/>
      <c r="B8" s="85"/>
      <c r="C8" s="86" t="s">
        <v>46</v>
      </c>
      <c r="D8" s="87">
        <v>29</v>
      </c>
      <c r="E8" s="87"/>
      <c r="F8" s="88">
        <f t="shared" si="0"/>
        <v>29</v>
      </c>
      <c r="G8" s="89">
        <v>4</v>
      </c>
      <c r="H8" s="89"/>
      <c r="I8" s="90">
        <v>1</v>
      </c>
      <c r="J8" s="91">
        <f t="shared" si="1"/>
        <v>5</v>
      </c>
      <c r="K8" s="92">
        <v>17</v>
      </c>
      <c r="L8" s="89">
        <v>4</v>
      </c>
      <c r="M8" s="89"/>
      <c r="N8" s="93"/>
      <c r="O8" s="93"/>
      <c r="P8" s="94" t="s">
        <v>45</v>
      </c>
      <c r="Q8" s="95">
        <f t="shared" si="2"/>
        <v>21</v>
      </c>
      <c r="R8" s="96"/>
      <c r="S8" s="97"/>
      <c r="T8" s="98"/>
      <c r="U8" s="99">
        <f t="shared" si="3"/>
        <v>26</v>
      </c>
      <c r="V8" s="100"/>
      <c r="W8" s="101">
        <v>3</v>
      </c>
      <c r="X8" s="101"/>
      <c r="Y8" s="102"/>
      <c r="Z8" s="101"/>
      <c r="AA8" s="103">
        <f t="shared" si="4"/>
        <v>3</v>
      </c>
      <c r="AB8" s="104">
        <f t="shared" si="5"/>
        <v>29</v>
      </c>
      <c r="AC8" s="105"/>
      <c r="AD8" s="106">
        <f t="shared" si="6"/>
        <v>29</v>
      </c>
    </row>
    <row r="9" spans="1:30" s="83" customFormat="1" ht="25.5" customHeight="1" x14ac:dyDescent="0.3">
      <c r="A9" s="84"/>
      <c r="B9" s="107"/>
      <c r="C9" s="108" t="s">
        <v>47</v>
      </c>
      <c r="D9" s="109">
        <v>86</v>
      </c>
      <c r="E9" s="109"/>
      <c r="F9" s="110">
        <f t="shared" si="0"/>
        <v>86</v>
      </c>
      <c r="G9" s="111">
        <v>8</v>
      </c>
      <c r="H9" s="112"/>
      <c r="I9" s="113">
        <v>3</v>
      </c>
      <c r="J9" s="114">
        <f t="shared" si="1"/>
        <v>11</v>
      </c>
      <c r="K9" s="111">
        <v>62</v>
      </c>
      <c r="L9" s="111">
        <v>8</v>
      </c>
      <c r="M9" s="115"/>
      <c r="N9" s="116"/>
      <c r="O9" s="116"/>
      <c r="P9" s="117" t="s">
        <v>45</v>
      </c>
      <c r="Q9" s="118">
        <f t="shared" si="2"/>
        <v>70</v>
      </c>
      <c r="R9" s="119"/>
      <c r="S9" s="120"/>
      <c r="T9" s="121"/>
      <c r="U9" s="122">
        <f t="shared" si="3"/>
        <v>81</v>
      </c>
      <c r="V9" s="123"/>
      <c r="W9" s="124">
        <v>5</v>
      </c>
      <c r="X9" s="124"/>
      <c r="Y9" s="124"/>
      <c r="Z9" s="124"/>
      <c r="AA9" s="125">
        <f t="shared" si="4"/>
        <v>5</v>
      </c>
      <c r="AB9" s="126">
        <f t="shared" si="5"/>
        <v>86</v>
      </c>
      <c r="AC9" s="127"/>
      <c r="AD9" s="128">
        <f t="shared" si="6"/>
        <v>86</v>
      </c>
    </row>
    <row r="10" spans="1:30" s="83" customFormat="1" ht="25.5" customHeight="1" x14ac:dyDescent="0.3">
      <c r="A10" s="84"/>
      <c r="B10" s="107"/>
      <c r="C10" s="129" t="s">
        <v>48</v>
      </c>
      <c r="D10" s="109">
        <v>129</v>
      </c>
      <c r="E10" s="109">
        <v>1</v>
      </c>
      <c r="F10" s="110">
        <f t="shared" si="0"/>
        <v>130</v>
      </c>
      <c r="G10" s="112">
        <v>10</v>
      </c>
      <c r="H10" s="112"/>
      <c r="I10" s="130">
        <v>4</v>
      </c>
      <c r="J10" s="131">
        <f t="shared" si="1"/>
        <v>14</v>
      </c>
      <c r="K10" s="132">
        <v>86</v>
      </c>
      <c r="L10" s="112">
        <v>14</v>
      </c>
      <c r="M10" s="112"/>
      <c r="N10" s="116"/>
      <c r="O10" s="116"/>
      <c r="P10" s="117" t="s">
        <v>45</v>
      </c>
      <c r="Q10" s="118">
        <f t="shared" si="2"/>
        <v>100</v>
      </c>
      <c r="R10" s="133"/>
      <c r="S10" s="134"/>
      <c r="T10" s="135"/>
      <c r="U10" s="122">
        <f t="shared" si="3"/>
        <v>114</v>
      </c>
      <c r="V10" s="123"/>
      <c r="W10" s="136"/>
      <c r="X10" s="136"/>
      <c r="Y10" s="136"/>
      <c r="Z10" s="136">
        <v>16</v>
      </c>
      <c r="AA10" s="125">
        <f t="shared" si="4"/>
        <v>16</v>
      </c>
      <c r="AB10" s="126">
        <f t="shared" si="5"/>
        <v>130</v>
      </c>
      <c r="AC10" s="127"/>
      <c r="AD10" s="128">
        <f t="shared" si="6"/>
        <v>130</v>
      </c>
    </row>
    <row r="11" spans="1:30" s="83" customFormat="1" ht="25.5" customHeight="1" x14ac:dyDescent="0.3">
      <c r="A11" s="84"/>
      <c r="B11" s="107"/>
      <c r="C11" s="137" t="s">
        <v>49</v>
      </c>
      <c r="D11" s="109">
        <v>33</v>
      </c>
      <c r="E11" s="109"/>
      <c r="F11" s="110">
        <f t="shared" si="0"/>
        <v>33</v>
      </c>
      <c r="G11" s="112">
        <v>4</v>
      </c>
      <c r="H11" s="112"/>
      <c r="I11" s="130">
        <v>2</v>
      </c>
      <c r="J11" s="131">
        <f t="shared" si="1"/>
        <v>6</v>
      </c>
      <c r="K11" s="132">
        <v>20</v>
      </c>
      <c r="L11" s="112">
        <v>4</v>
      </c>
      <c r="M11" s="112"/>
      <c r="N11" s="116"/>
      <c r="O11" s="116"/>
      <c r="P11" s="117" t="s">
        <v>45</v>
      </c>
      <c r="Q11" s="118">
        <f t="shared" si="2"/>
        <v>24</v>
      </c>
      <c r="R11" s="133"/>
      <c r="S11" s="134"/>
      <c r="T11" s="135"/>
      <c r="U11" s="122">
        <f t="shared" si="3"/>
        <v>30</v>
      </c>
      <c r="V11" s="123"/>
      <c r="W11" s="124"/>
      <c r="X11" s="124"/>
      <c r="Y11" s="136"/>
      <c r="Z11" s="124">
        <v>3</v>
      </c>
      <c r="AA11" s="125">
        <f t="shared" si="4"/>
        <v>3</v>
      </c>
      <c r="AB11" s="126">
        <f t="shared" si="5"/>
        <v>33</v>
      </c>
      <c r="AC11" s="127"/>
      <c r="AD11" s="128">
        <f t="shared" si="6"/>
        <v>33</v>
      </c>
    </row>
    <row r="12" spans="1:30" s="83" customFormat="1" ht="25.5" customHeight="1" x14ac:dyDescent="0.3">
      <c r="A12" s="138"/>
      <c r="B12" s="107"/>
      <c r="C12" s="129" t="s">
        <v>50</v>
      </c>
      <c r="D12" s="109">
        <v>166</v>
      </c>
      <c r="E12" s="109"/>
      <c r="F12" s="110">
        <f t="shared" si="0"/>
        <v>166</v>
      </c>
      <c r="G12" s="112">
        <v>24</v>
      </c>
      <c r="H12" s="112"/>
      <c r="I12" s="130">
        <v>6</v>
      </c>
      <c r="J12" s="131">
        <f t="shared" si="1"/>
        <v>30</v>
      </c>
      <c r="K12" s="132">
        <v>94</v>
      </c>
      <c r="L12" s="112">
        <v>22</v>
      </c>
      <c r="M12" s="112"/>
      <c r="N12" s="116"/>
      <c r="O12" s="116"/>
      <c r="P12" s="117" t="s">
        <v>45</v>
      </c>
      <c r="Q12" s="118">
        <f t="shared" si="2"/>
        <v>116</v>
      </c>
      <c r="R12" s="133"/>
      <c r="S12" s="134"/>
      <c r="T12" s="135"/>
      <c r="U12" s="122">
        <f t="shared" si="3"/>
        <v>146</v>
      </c>
      <c r="V12" s="119">
        <v>20</v>
      </c>
      <c r="W12" s="124"/>
      <c r="X12" s="124"/>
      <c r="Y12" s="136"/>
      <c r="Z12" s="124"/>
      <c r="AA12" s="125">
        <f t="shared" si="4"/>
        <v>20</v>
      </c>
      <c r="AB12" s="126">
        <f t="shared" si="5"/>
        <v>166</v>
      </c>
      <c r="AC12" s="127"/>
      <c r="AD12" s="128">
        <f t="shared" si="6"/>
        <v>166</v>
      </c>
    </row>
    <row r="13" spans="1:30" s="83" customFormat="1" ht="25.5" customHeight="1" x14ac:dyDescent="0.3">
      <c r="A13" s="139" t="s">
        <v>51</v>
      </c>
      <c r="B13" s="107"/>
      <c r="C13" s="140" t="s">
        <v>52</v>
      </c>
      <c r="D13" s="109">
        <v>76</v>
      </c>
      <c r="E13" s="109"/>
      <c r="F13" s="110">
        <f t="shared" si="0"/>
        <v>76</v>
      </c>
      <c r="G13" s="111">
        <v>12</v>
      </c>
      <c r="H13" s="112"/>
      <c r="I13" s="111">
        <v>3</v>
      </c>
      <c r="J13" s="131">
        <f t="shared" si="1"/>
        <v>15</v>
      </c>
      <c r="K13" s="111">
        <v>45</v>
      </c>
      <c r="L13" s="111">
        <v>10</v>
      </c>
      <c r="M13" s="112"/>
      <c r="N13" s="116"/>
      <c r="O13" s="116"/>
      <c r="P13" s="117" t="s">
        <v>45</v>
      </c>
      <c r="Q13" s="118">
        <f t="shared" si="2"/>
        <v>55</v>
      </c>
      <c r="R13" s="133"/>
      <c r="S13" s="134"/>
      <c r="T13" s="135"/>
      <c r="U13" s="122">
        <f t="shared" si="3"/>
        <v>70</v>
      </c>
      <c r="V13" s="119"/>
      <c r="W13" s="136"/>
      <c r="X13" s="136"/>
      <c r="Y13" s="136"/>
      <c r="Z13" s="124">
        <v>6</v>
      </c>
      <c r="AA13" s="125">
        <f t="shared" si="4"/>
        <v>6</v>
      </c>
      <c r="AB13" s="126">
        <f t="shared" si="5"/>
        <v>76</v>
      </c>
      <c r="AC13" s="127"/>
      <c r="AD13" s="128">
        <f t="shared" si="6"/>
        <v>76</v>
      </c>
    </row>
    <row r="14" spans="1:30" s="83" customFormat="1" ht="25.5" customHeight="1" x14ac:dyDescent="0.3">
      <c r="A14" s="141" t="s">
        <v>40</v>
      </c>
      <c r="B14" s="107"/>
      <c r="C14" s="142" t="s">
        <v>53</v>
      </c>
      <c r="D14" s="109">
        <v>63</v>
      </c>
      <c r="E14" s="109"/>
      <c r="F14" s="110">
        <f t="shared" si="0"/>
        <v>63</v>
      </c>
      <c r="G14" s="143">
        <v>4</v>
      </c>
      <c r="H14" s="143"/>
      <c r="I14" s="144">
        <v>2</v>
      </c>
      <c r="J14" s="145">
        <f t="shared" si="1"/>
        <v>6</v>
      </c>
      <c r="K14" s="146">
        <v>42</v>
      </c>
      <c r="L14" s="147">
        <v>5</v>
      </c>
      <c r="M14" s="147"/>
      <c r="N14" s="116"/>
      <c r="O14" s="116"/>
      <c r="P14" s="148" t="s">
        <v>45</v>
      </c>
      <c r="Q14" s="149">
        <f t="shared" si="2"/>
        <v>47</v>
      </c>
      <c r="R14" s="146"/>
      <c r="S14" s="150"/>
      <c r="T14" s="144"/>
      <c r="U14" s="151">
        <f t="shared" si="3"/>
        <v>53</v>
      </c>
      <c r="V14" s="146">
        <v>10</v>
      </c>
      <c r="W14" s="147"/>
      <c r="X14" s="147"/>
      <c r="Y14" s="147"/>
      <c r="Z14" s="147"/>
      <c r="AA14" s="152">
        <f t="shared" si="4"/>
        <v>10</v>
      </c>
      <c r="AB14" s="126">
        <f t="shared" si="5"/>
        <v>63</v>
      </c>
      <c r="AC14" s="127"/>
      <c r="AD14" s="128">
        <f t="shared" si="6"/>
        <v>63</v>
      </c>
    </row>
    <row r="15" spans="1:30" s="83" customFormat="1" ht="25.5" customHeight="1" thickBot="1" x14ac:dyDescent="0.35">
      <c r="A15" s="153" t="s">
        <v>54</v>
      </c>
      <c r="B15" s="154"/>
      <c r="C15" s="154"/>
      <c r="D15" s="155">
        <f>SUM(D7:D14)</f>
        <v>621</v>
      </c>
      <c r="E15" s="155">
        <f t="shared" ref="E15:Z15" si="7">SUM(E7:E14)</f>
        <v>1</v>
      </c>
      <c r="F15" s="156">
        <f t="shared" si="7"/>
        <v>622</v>
      </c>
      <c r="G15" s="157">
        <f t="shared" si="7"/>
        <v>72</v>
      </c>
      <c r="H15" s="157">
        <f t="shared" si="7"/>
        <v>0</v>
      </c>
      <c r="I15" s="158">
        <f t="shared" si="7"/>
        <v>23</v>
      </c>
      <c r="J15" s="159">
        <f t="shared" si="1"/>
        <v>95</v>
      </c>
      <c r="K15" s="160">
        <f t="shared" si="7"/>
        <v>389</v>
      </c>
      <c r="L15" s="157">
        <f t="shared" si="7"/>
        <v>72</v>
      </c>
      <c r="M15" s="157">
        <f t="shared" si="7"/>
        <v>0</v>
      </c>
      <c r="N15" s="157">
        <v>20</v>
      </c>
      <c r="O15" s="157">
        <v>13</v>
      </c>
      <c r="P15" s="157">
        <f t="shared" si="7"/>
        <v>0</v>
      </c>
      <c r="Q15" s="159">
        <f>SUM(K15:M15)+N15+O15</f>
        <v>494</v>
      </c>
      <c r="R15" s="160">
        <f t="shared" si="7"/>
        <v>0</v>
      </c>
      <c r="S15" s="160">
        <f t="shared" si="7"/>
        <v>0</v>
      </c>
      <c r="T15" s="158">
        <f t="shared" si="7"/>
        <v>0</v>
      </c>
      <c r="U15" s="159">
        <f t="shared" si="3"/>
        <v>589</v>
      </c>
      <c r="V15" s="160">
        <f t="shared" si="7"/>
        <v>30</v>
      </c>
      <c r="W15" s="157">
        <f t="shared" si="7"/>
        <v>11</v>
      </c>
      <c r="X15" s="157">
        <f t="shared" si="7"/>
        <v>0</v>
      </c>
      <c r="Y15" s="157">
        <f t="shared" si="7"/>
        <v>0</v>
      </c>
      <c r="Z15" s="157">
        <f t="shared" si="7"/>
        <v>25</v>
      </c>
      <c r="AA15" s="161">
        <f>SUM(AA7:AA14)</f>
        <v>66</v>
      </c>
      <c r="AB15" s="162">
        <f t="shared" si="5"/>
        <v>622</v>
      </c>
      <c r="AC15" s="163">
        <f>N15+O15</f>
        <v>33</v>
      </c>
      <c r="AD15" s="164">
        <f t="shared" si="6"/>
        <v>655</v>
      </c>
    </row>
    <row r="16" spans="1:30" s="171" customFormat="1" ht="25.5" customHeight="1" x14ac:dyDescent="0.3">
      <c r="A16" s="165" t="s">
        <v>55</v>
      </c>
      <c r="B16" s="166" t="s">
        <v>56</v>
      </c>
      <c r="C16" s="167" t="s">
        <v>57</v>
      </c>
      <c r="D16" s="109">
        <v>30</v>
      </c>
      <c r="E16" s="109"/>
      <c r="F16" s="110">
        <f t="shared" ref="F16:F23" si="8">D16+E16</f>
        <v>30</v>
      </c>
      <c r="G16" s="111">
        <v>8</v>
      </c>
      <c r="H16" s="111"/>
      <c r="I16" s="144">
        <v>2</v>
      </c>
      <c r="J16" s="145">
        <f t="shared" si="1"/>
        <v>10</v>
      </c>
      <c r="K16" s="146">
        <v>10</v>
      </c>
      <c r="L16" s="147">
        <v>6</v>
      </c>
      <c r="M16" s="147"/>
      <c r="N16" s="143">
        <v>3</v>
      </c>
      <c r="O16" s="143"/>
      <c r="P16" s="148" t="s">
        <v>45</v>
      </c>
      <c r="Q16" s="149">
        <f>SUM(K16:M16)+N16+O16</f>
        <v>19</v>
      </c>
      <c r="R16" s="146"/>
      <c r="S16" s="150"/>
      <c r="T16" s="144"/>
      <c r="U16" s="151">
        <f t="shared" si="3"/>
        <v>29</v>
      </c>
      <c r="V16" s="168"/>
      <c r="W16" s="147"/>
      <c r="X16" s="147"/>
      <c r="Y16" s="147"/>
      <c r="Z16" s="147">
        <v>4</v>
      </c>
      <c r="AA16" s="152">
        <f t="shared" ref="AA16:AA23" si="9">SUM(V16:Z16)</f>
        <v>4</v>
      </c>
      <c r="AB16" s="126">
        <f t="shared" si="5"/>
        <v>30</v>
      </c>
      <c r="AC16" s="169">
        <f>N16+O16</f>
        <v>3</v>
      </c>
      <c r="AD16" s="170">
        <f t="shared" si="6"/>
        <v>33</v>
      </c>
    </row>
    <row r="17" spans="1:32" s="171" customFormat="1" ht="25.5" customHeight="1" x14ac:dyDescent="0.3">
      <c r="A17" s="165"/>
      <c r="B17" s="172" t="s">
        <v>58</v>
      </c>
      <c r="C17" s="173" t="s">
        <v>59</v>
      </c>
      <c r="D17" s="109">
        <v>13</v>
      </c>
      <c r="E17" s="174"/>
      <c r="F17" s="175">
        <f t="shared" si="8"/>
        <v>13</v>
      </c>
      <c r="G17" s="111">
        <v>2</v>
      </c>
      <c r="H17" s="176"/>
      <c r="I17" s="177">
        <v>1</v>
      </c>
      <c r="J17" s="178">
        <f t="shared" si="1"/>
        <v>3</v>
      </c>
      <c r="K17" s="179">
        <v>6</v>
      </c>
      <c r="L17" s="180">
        <v>2</v>
      </c>
      <c r="M17" s="180"/>
      <c r="N17" s="181">
        <v>1</v>
      </c>
      <c r="O17" s="176"/>
      <c r="P17" s="182" t="s">
        <v>45</v>
      </c>
      <c r="Q17" s="149">
        <f>SUM(K17:M17)+N17+O17</f>
        <v>9</v>
      </c>
      <c r="R17" s="179"/>
      <c r="S17" s="183"/>
      <c r="T17" s="177"/>
      <c r="U17" s="184">
        <f t="shared" si="3"/>
        <v>12</v>
      </c>
      <c r="V17" s="185"/>
      <c r="W17" s="180"/>
      <c r="X17" s="180"/>
      <c r="Y17" s="180"/>
      <c r="Z17" s="180">
        <v>2</v>
      </c>
      <c r="AA17" s="186">
        <f t="shared" si="9"/>
        <v>2</v>
      </c>
      <c r="AB17" s="126">
        <f t="shared" si="5"/>
        <v>13</v>
      </c>
      <c r="AC17" s="187">
        <f>N17+O17</f>
        <v>1</v>
      </c>
      <c r="AD17" s="188">
        <f t="shared" si="6"/>
        <v>14</v>
      </c>
      <c r="AF17" s="189"/>
    </row>
    <row r="18" spans="1:32" s="171" customFormat="1" ht="25.5" customHeight="1" x14ac:dyDescent="0.3">
      <c r="A18" s="165"/>
      <c r="B18" s="107" t="s">
        <v>60</v>
      </c>
      <c r="C18" s="190" t="s">
        <v>61</v>
      </c>
      <c r="D18" s="109">
        <v>14</v>
      </c>
      <c r="E18" s="109"/>
      <c r="F18" s="191">
        <f t="shared" si="8"/>
        <v>14</v>
      </c>
      <c r="G18" s="192">
        <v>5</v>
      </c>
      <c r="H18" s="192"/>
      <c r="I18" s="193">
        <v>1</v>
      </c>
      <c r="J18" s="194">
        <f t="shared" si="1"/>
        <v>6</v>
      </c>
      <c r="K18" s="195">
        <v>4</v>
      </c>
      <c r="L18" s="196">
        <v>2</v>
      </c>
      <c r="M18" s="196"/>
      <c r="N18" s="143">
        <v>1</v>
      </c>
      <c r="O18" s="192"/>
      <c r="P18" s="182" t="s">
        <v>45</v>
      </c>
      <c r="Q18" s="149">
        <f>SUM(K18:M18)+N18+O18</f>
        <v>7</v>
      </c>
      <c r="R18" s="195"/>
      <c r="S18" s="197"/>
      <c r="T18" s="193"/>
      <c r="U18" s="198">
        <f t="shared" si="3"/>
        <v>13</v>
      </c>
      <c r="V18" s="199"/>
      <c r="W18" s="196"/>
      <c r="X18" s="196"/>
      <c r="Y18" s="196"/>
      <c r="Z18" s="196">
        <v>2</v>
      </c>
      <c r="AA18" s="200">
        <f t="shared" si="9"/>
        <v>2</v>
      </c>
      <c r="AB18" s="126">
        <f t="shared" si="5"/>
        <v>14</v>
      </c>
      <c r="AC18" s="201">
        <f>N18+O18</f>
        <v>1</v>
      </c>
      <c r="AD18" s="202">
        <f t="shared" si="6"/>
        <v>15</v>
      </c>
      <c r="AF18" s="189"/>
    </row>
    <row r="19" spans="1:32" s="171" customFormat="1" ht="25.5" customHeight="1" x14ac:dyDescent="0.3">
      <c r="A19" s="203" t="s">
        <v>40</v>
      </c>
      <c r="B19" s="107"/>
      <c r="C19" s="142" t="s">
        <v>62</v>
      </c>
      <c r="D19" s="109">
        <v>25</v>
      </c>
      <c r="E19" s="109"/>
      <c r="F19" s="110">
        <f t="shared" si="8"/>
        <v>25</v>
      </c>
      <c r="G19" s="112">
        <v>3</v>
      </c>
      <c r="H19" s="136"/>
      <c r="I19" s="135">
        <v>1</v>
      </c>
      <c r="J19" s="204">
        <f t="shared" si="1"/>
        <v>4</v>
      </c>
      <c r="K19" s="133">
        <v>16</v>
      </c>
      <c r="L19" s="136">
        <v>3</v>
      </c>
      <c r="M19" s="136"/>
      <c r="N19" s="205" t="s">
        <v>63</v>
      </c>
      <c r="O19" s="205" t="s">
        <v>64</v>
      </c>
      <c r="P19" s="182" t="s">
        <v>45</v>
      </c>
      <c r="Q19" s="206">
        <f>SUM(K19:M19)</f>
        <v>19</v>
      </c>
      <c r="R19" s="133"/>
      <c r="S19" s="134"/>
      <c r="T19" s="135"/>
      <c r="U19" s="122">
        <f t="shared" si="3"/>
        <v>23</v>
      </c>
      <c r="V19" s="123"/>
      <c r="W19" s="124">
        <v>2</v>
      </c>
      <c r="X19" s="124"/>
      <c r="Y19" s="136"/>
      <c r="Z19" s="124"/>
      <c r="AA19" s="125">
        <f t="shared" si="9"/>
        <v>2</v>
      </c>
      <c r="AB19" s="126">
        <f t="shared" si="5"/>
        <v>25</v>
      </c>
      <c r="AC19" s="207">
        <v>6</v>
      </c>
      <c r="AD19" s="128">
        <f t="shared" si="6"/>
        <v>25</v>
      </c>
    </row>
    <row r="20" spans="1:32" s="171" customFormat="1" ht="25.5" customHeight="1" x14ac:dyDescent="0.3">
      <c r="A20" s="208"/>
      <c r="B20" s="107"/>
      <c r="C20" s="142" t="s">
        <v>65</v>
      </c>
      <c r="D20" s="109">
        <v>21</v>
      </c>
      <c r="E20" s="109"/>
      <c r="F20" s="110">
        <f t="shared" si="8"/>
        <v>21</v>
      </c>
      <c r="G20" s="136">
        <v>3</v>
      </c>
      <c r="H20" s="136"/>
      <c r="I20" s="121">
        <v>1</v>
      </c>
      <c r="J20" s="209">
        <f t="shared" si="1"/>
        <v>4</v>
      </c>
      <c r="K20" s="119">
        <v>12</v>
      </c>
      <c r="L20" s="124">
        <v>3</v>
      </c>
      <c r="M20" s="124"/>
      <c r="N20" s="210"/>
      <c r="O20" s="210"/>
      <c r="P20" s="182" t="s">
        <v>45</v>
      </c>
      <c r="Q20" s="206">
        <f>SUM(K20:M20)</f>
        <v>15</v>
      </c>
      <c r="R20" s="119"/>
      <c r="S20" s="120"/>
      <c r="T20" s="211"/>
      <c r="U20" s="122">
        <f t="shared" si="3"/>
        <v>19</v>
      </c>
      <c r="V20" s="123"/>
      <c r="W20" s="124">
        <v>2</v>
      </c>
      <c r="X20" s="124"/>
      <c r="Y20" s="124"/>
      <c r="Z20" s="124"/>
      <c r="AA20" s="125">
        <f t="shared" si="9"/>
        <v>2</v>
      </c>
      <c r="AB20" s="126">
        <f t="shared" si="5"/>
        <v>21</v>
      </c>
      <c r="AC20" s="212"/>
      <c r="AD20" s="128">
        <f t="shared" si="6"/>
        <v>21</v>
      </c>
    </row>
    <row r="21" spans="1:32" s="171" customFormat="1" ht="25.5" customHeight="1" x14ac:dyDescent="0.3">
      <c r="A21" s="208"/>
      <c r="B21" s="107"/>
      <c r="C21" s="108" t="s">
        <v>66</v>
      </c>
      <c r="D21" s="109">
        <v>24</v>
      </c>
      <c r="E21" s="109"/>
      <c r="F21" s="110">
        <f t="shared" si="8"/>
        <v>24</v>
      </c>
      <c r="G21" s="136">
        <v>3</v>
      </c>
      <c r="H21" s="136"/>
      <c r="I21" s="121">
        <v>1</v>
      </c>
      <c r="J21" s="209">
        <f t="shared" si="1"/>
        <v>4</v>
      </c>
      <c r="K21" s="119">
        <v>15</v>
      </c>
      <c r="L21" s="124">
        <v>3</v>
      </c>
      <c r="M21" s="124"/>
      <c r="N21" s="210"/>
      <c r="O21" s="210"/>
      <c r="P21" s="182" t="s">
        <v>45</v>
      </c>
      <c r="Q21" s="206">
        <f>SUM(K21:M21)</f>
        <v>18</v>
      </c>
      <c r="R21" s="119"/>
      <c r="S21" s="120"/>
      <c r="T21" s="211"/>
      <c r="U21" s="122">
        <f t="shared" si="3"/>
        <v>22</v>
      </c>
      <c r="V21" s="123"/>
      <c r="W21" s="124">
        <v>2</v>
      </c>
      <c r="X21" s="124"/>
      <c r="Y21" s="124"/>
      <c r="Z21" s="124"/>
      <c r="AA21" s="125">
        <f t="shared" si="9"/>
        <v>2</v>
      </c>
      <c r="AB21" s="126">
        <f t="shared" si="5"/>
        <v>24</v>
      </c>
      <c r="AC21" s="212"/>
      <c r="AD21" s="128">
        <f t="shared" si="6"/>
        <v>24</v>
      </c>
    </row>
    <row r="22" spans="1:32" s="171" customFormat="1" ht="25.5" customHeight="1" x14ac:dyDescent="0.3">
      <c r="A22" s="208"/>
      <c r="B22" s="107"/>
      <c r="C22" s="142" t="s">
        <v>67</v>
      </c>
      <c r="D22" s="109">
        <v>25</v>
      </c>
      <c r="E22" s="109"/>
      <c r="F22" s="110">
        <f t="shared" si="8"/>
        <v>25</v>
      </c>
      <c r="G22" s="136">
        <v>3</v>
      </c>
      <c r="H22" s="136"/>
      <c r="I22" s="121">
        <v>1</v>
      </c>
      <c r="J22" s="209">
        <f t="shared" si="1"/>
        <v>4</v>
      </c>
      <c r="K22" s="119">
        <v>16</v>
      </c>
      <c r="L22" s="124">
        <v>3</v>
      </c>
      <c r="M22" s="124"/>
      <c r="N22" s="210"/>
      <c r="O22" s="210"/>
      <c r="P22" s="182" t="s">
        <v>45</v>
      </c>
      <c r="Q22" s="206">
        <f>SUM(K22:M22)</f>
        <v>19</v>
      </c>
      <c r="R22" s="119"/>
      <c r="S22" s="120"/>
      <c r="T22" s="121"/>
      <c r="U22" s="122">
        <f t="shared" si="3"/>
        <v>23</v>
      </c>
      <c r="V22" s="123"/>
      <c r="W22" s="124">
        <v>2</v>
      </c>
      <c r="X22" s="124"/>
      <c r="Y22" s="124"/>
      <c r="Z22" s="124"/>
      <c r="AA22" s="125">
        <f t="shared" si="9"/>
        <v>2</v>
      </c>
      <c r="AB22" s="126">
        <f t="shared" si="5"/>
        <v>25</v>
      </c>
      <c r="AC22" s="212"/>
      <c r="AD22" s="128">
        <f t="shared" si="6"/>
        <v>25</v>
      </c>
    </row>
    <row r="23" spans="1:32" s="171" customFormat="1" ht="25.5" customHeight="1" x14ac:dyDescent="0.3">
      <c r="A23" s="213"/>
      <c r="B23" s="107"/>
      <c r="C23" s="214" t="s">
        <v>68</v>
      </c>
      <c r="D23" s="109">
        <v>14</v>
      </c>
      <c r="E23" s="109"/>
      <c r="F23" s="191">
        <f t="shared" si="8"/>
        <v>14</v>
      </c>
      <c r="G23" s="192">
        <v>2</v>
      </c>
      <c r="H23" s="192"/>
      <c r="I23" s="193">
        <v>1</v>
      </c>
      <c r="J23" s="194">
        <f t="shared" si="1"/>
        <v>3</v>
      </c>
      <c r="K23" s="195">
        <v>6</v>
      </c>
      <c r="L23" s="196">
        <v>2</v>
      </c>
      <c r="M23" s="196"/>
      <c r="N23" s="215"/>
      <c r="O23" s="215"/>
      <c r="P23" s="182" t="s">
        <v>45</v>
      </c>
      <c r="Q23" s="216">
        <f>SUM(K23:M23)</f>
        <v>8</v>
      </c>
      <c r="R23" s="195"/>
      <c r="S23" s="197"/>
      <c r="T23" s="193"/>
      <c r="U23" s="198">
        <f t="shared" si="3"/>
        <v>11</v>
      </c>
      <c r="V23" s="217">
        <v>3</v>
      </c>
      <c r="W23" s="196"/>
      <c r="X23" s="196"/>
      <c r="Y23" s="196"/>
      <c r="Z23" s="196"/>
      <c r="AA23" s="200">
        <f t="shared" si="9"/>
        <v>3</v>
      </c>
      <c r="AB23" s="126">
        <f t="shared" si="5"/>
        <v>14</v>
      </c>
      <c r="AC23" s="218"/>
      <c r="AD23" s="202">
        <f t="shared" si="6"/>
        <v>14</v>
      </c>
      <c r="AF23" s="189"/>
    </row>
    <row r="24" spans="1:32" s="171" customFormat="1" ht="25.5" customHeight="1" thickBot="1" x14ac:dyDescent="0.35">
      <c r="A24" s="153" t="s">
        <v>54</v>
      </c>
      <c r="B24" s="154"/>
      <c r="C24" s="154"/>
      <c r="D24" s="155">
        <f t="shared" ref="D24:I24" si="10">SUM(D16:D23)</f>
        <v>166</v>
      </c>
      <c r="E24" s="155">
        <f t="shared" si="10"/>
        <v>0</v>
      </c>
      <c r="F24" s="156">
        <f t="shared" si="10"/>
        <v>166</v>
      </c>
      <c r="G24" s="157">
        <f t="shared" si="10"/>
        <v>29</v>
      </c>
      <c r="H24" s="157">
        <f t="shared" si="10"/>
        <v>0</v>
      </c>
      <c r="I24" s="158">
        <f t="shared" si="10"/>
        <v>9</v>
      </c>
      <c r="J24" s="159">
        <f t="shared" si="1"/>
        <v>38</v>
      </c>
      <c r="K24" s="160">
        <f>SUM(K16:K23)</f>
        <v>85</v>
      </c>
      <c r="L24" s="157">
        <f>SUM(L16:L23)</f>
        <v>24</v>
      </c>
      <c r="M24" s="157">
        <f>SUM(M16:M23)</f>
        <v>0</v>
      </c>
      <c r="N24" s="157">
        <v>9</v>
      </c>
      <c r="O24" s="157">
        <v>2</v>
      </c>
      <c r="P24" s="157">
        <f>SUM(P16:P23)</f>
        <v>0</v>
      </c>
      <c r="Q24" s="159">
        <f>SUM(K24:M24)+N24+O24</f>
        <v>120</v>
      </c>
      <c r="R24" s="160">
        <f>SUM(R16:R23)</f>
        <v>0</v>
      </c>
      <c r="S24" s="160">
        <f>SUM(S16:S23)</f>
        <v>0</v>
      </c>
      <c r="T24" s="158">
        <f>SUM(T16:T23)</f>
        <v>0</v>
      </c>
      <c r="U24" s="159">
        <f t="shared" si="3"/>
        <v>158</v>
      </c>
      <c r="V24" s="160">
        <f t="shared" ref="V24:AA24" si="11">SUM(V16:V23)</f>
        <v>3</v>
      </c>
      <c r="W24" s="157">
        <f t="shared" si="11"/>
        <v>8</v>
      </c>
      <c r="X24" s="157">
        <f t="shared" si="11"/>
        <v>0</v>
      </c>
      <c r="Y24" s="157">
        <f t="shared" si="11"/>
        <v>0</v>
      </c>
      <c r="Z24" s="157">
        <f t="shared" si="11"/>
        <v>8</v>
      </c>
      <c r="AA24" s="161">
        <f t="shared" si="11"/>
        <v>19</v>
      </c>
      <c r="AB24" s="162">
        <f t="shared" si="5"/>
        <v>166</v>
      </c>
      <c r="AC24" s="163">
        <f>N24+O24</f>
        <v>11</v>
      </c>
      <c r="AD24" s="164">
        <f t="shared" si="6"/>
        <v>177</v>
      </c>
      <c r="AF24" s="189"/>
    </row>
    <row r="25" spans="1:32" s="171" customFormat="1" ht="25.5" customHeight="1" x14ac:dyDescent="0.3">
      <c r="A25" s="219" t="s">
        <v>69</v>
      </c>
      <c r="B25" s="220" t="s">
        <v>70</v>
      </c>
      <c r="C25" s="214" t="s">
        <v>71</v>
      </c>
      <c r="D25" s="109">
        <v>55</v>
      </c>
      <c r="E25" s="109"/>
      <c r="F25" s="191">
        <f>D25+E25</f>
        <v>55</v>
      </c>
      <c r="G25" s="192">
        <v>3</v>
      </c>
      <c r="H25" s="192"/>
      <c r="I25" s="193">
        <v>2</v>
      </c>
      <c r="J25" s="194">
        <f t="shared" si="1"/>
        <v>5</v>
      </c>
      <c r="K25" s="195"/>
      <c r="L25" s="196"/>
      <c r="M25" s="196"/>
      <c r="N25" s="221" t="s">
        <v>72</v>
      </c>
      <c r="O25" s="221" t="s">
        <v>73</v>
      </c>
      <c r="P25" s="222" t="s">
        <v>45</v>
      </c>
      <c r="Q25" s="216">
        <f>SUM(K25:M25)</f>
        <v>0</v>
      </c>
      <c r="R25" s="111">
        <v>42</v>
      </c>
      <c r="S25" s="223"/>
      <c r="T25" s="211"/>
      <c r="U25" s="198">
        <f t="shared" si="3"/>
        <v>47</v>
      </c>
      <c r="V25" s="199"/>
      <c r="W25" s="196"/>
      <c r="X25" s="196"/>
      <c r="Y25" s="124">
        <v>8</v>
      </c>
      <c r="Z25" s="196"/>
      <c r="AA25" s="200">
        <f>SUM(V25:Z25)</f>
        <v>8</v>
      </c>
      <c r="AB25" s="126">
        <f t="shared" si="5"/>
        <v>55</v>
      </c>
      <c r="AC25" s="224">
        <v>7</v>
      </c>
      <c r="AD25" s="202">
        <f t="shared" si="6"/>
        <v>55</v>
      </c>
      <c r="AF25" s="189"/>
    </row>
    <row r="26" spans="1:32" s="171" customFormat="1" ht="25.5" customHeight="1" x14ac:dyDescent="0.3">
      <c r="A26" s="225"/>
      <c r="B26" s="226"/>
      <c r="C26" s="214" t="s">
        <v>74</v>
      </c>
      <c r="D26" s="109">
        <v>42</v>
      </c>
      <c r="E26" s="109"/>
      <c r="F26" s="191">
        <f>D26+E26</f>
        <v>42</v>
      </c>
      <c r="G26" s="192">
        <v>5</v>
      </c>
      <c r="H26" s="192"/>
      <c r="I26" s="193">
        <v>2</v>
      </c>
      <c r="J26" s="194">
        <f t="shared" si="1"/>
        <v>7</v>
      </c>
      <c r="K26" s="195"/>
      <c r="L26" s="196"/>
      <c r="M26" s="196"/>
      <c r="N26" s="227"/>
      <c r="O26" s="227"/>
      <c r="P26" s="182" t="s">
        <v>45</v>
      </c>
      <c r="Q26" s="216">
        <f>SUM(K26:M26)</f>
        <v>0</v>
      </c>
      <c r="R26" s="111">
        <v>30</v>
      </c>
      <c r="S26" s="223"/>
      <c r="T26" s="211"/>
      <c r="U26" s="198">
        <f t="shared" si="3"/>
        <v>37</v>
      </c>
      <c r="V26" s="199"/>
      <c r="W26" s="196"/>
      <c r="X26" s="196"/>
      <c r="Y26" s="124">
        <v>5</v>
      </c>
      <c r="Z26" s="196"/>
      <c r="AA26" s="200">
        <f>SUM(V26:Z26)</f>
        <v>5</v>
      </c>
      <c r="AB26" s="126">
        <f t="shared" si="5"/>
        <v>42</v>
      </c>
      <c r="AC26" s="228"/>
      <c r="AD26" s="202">
        <f t="shared" si="6"/>
        <v>42</v>
      </c>
      <c r="AF26" s="189"/>
    </row>
    <row r="27" spans="1:32" s="171" customFormat="1" ht="25.5" customHeight="1" x14ac:dyDescent="0.3">
      <c r="A27" s="229"/>
      <c r="B27" s="85"/>
      <c r="C27" s="142" t="s">
        <v>75</v>
      </c>
      <c r="D27" s="109">
        <v>43</v>
      </c>
      <c r="E27" s="109"/>
      <c r="F27" s="110">
        <f>D27+E27</f>
        <v>43</v>
      </c>
      <c r="G27" s="143">
        <v>6</v>
      </c>
      <c r="H27" s="143"/>
      <c r="I27" s="144">
        <v>2</v>
      </c>
      <c r="J27" s="194">
        <f t="shared" si="1"/>
        <v>8</v>
      </c>
      <c r="K27" s="146">
        <v>6</v>
      </c>
      <c r="L27" s="147">
        <v>3</v>
      </c>
      <c r="M27" s="147"/>
      <c r="N27" s="227"/>
      <c r="O27" s="227"/>
      <c r="P27" s="148" t="s">
        <v>45</v>
      </c>
      <c r="Q27" s="149">
        <f>SUM(K27:M27)</f>
        <v>9</v>
      </c>
      <c r="R27" s="119"/>
      <c r="S27" s="119">
        <v>14</v>
      </c>
      <c r="T27" s="121">
        <v>9</v>
      </c>
      <c r="U27" s="198">
        <f>J27+Q27+R27+T27+S27</f>
        <v>40</v>
      </c>
      <c r="V27" s="168"/>
      <c r="W27" s="147"/>
      <c r="X27" s="147"/>
      <c r="Y27" s="124">
        <v>3</v>
      </c>
      <c r="Z27" s="147"/>
      <c r="AA27" s="200">
        <f>SUM(V27:Z27)</f>
        <v>3</v>
      </c>
      <c r="AB27" s="126">
        <f>J27+SUM(K27:M27)+R27+T27+AA27+S27</f>
        <v>43</v>
      </c>
      <c r="AC27" s="230"/>
      <c r="AD27" s="202">
        <f t="shared" si="6"/>
        <v>43</v>
      </c>
    </row>
    <row r="28" spans="1:32" s="171" customFormat="1" ht="25.5" customHeight="1" thickBot="1" x14ac:dyDescent="0.35">
      <c r="A28" s="153" t="s">
        <v>54</v>
      </c>
      <c r="B28" s="154"/>
      <c r="C28" s="154"/>
      <c r="D28" s="155">
        <f>SUM(D25:D27)</f>
        <v>140</v>
      </c>
      <c r="E28" s="155">
        <f t="shared" ref="E28:AA28" si="12">SUM(E25:E27)</f>
        <v>0</v>
      </c>
      <c r="F28" s="156">
        <f t="shared" si="12"/>
        <v>140</v>
      </c>
      <c r="G28" s="157">
        <f t="shared" si="12"/>
        <v>14</v>
      </c>
      <c r="H28" s="157">
        <f t="shared" si="12"/>
        <v>0</v>
      </c>
      <c r="I28" s="158">
        <f t="shared" si="12"/>
        <v>6</v>
      </c>
      <c r="J28" s="159">
        <f t="shared" si="1"/>
        <v>20</v>
      </c>
      <c r="K28" s="160">
        <f t="shared" si="12"/>
        <v>6</v>
      </c>
      <c r="L28" s="157">
        <f t="shared" si="12"/>
        <v>3</v>
      </c>
      <c r="M28" s="157">
        <f t="shared" si="12"/>
        <v>0</v>
      </c>
      <c r="N28" s="157">
        <v>5</v>
      </c>
      <c r="O28" s="157">
        <v>2</v>
      </c>
      <c r="P28" s="157">
        <f t="shared" si="12"/>
        <v>0</v>
      </c>
      <c r="Q28" s="159">
        <f>SUM(K28:M28)+N28+O28</f>
        <v>16</v>
      </c>
      <c r="R28" s="160">
        <f t="shared" si="12"/>
        <v>72</v>
      </c>
      <c r="S28" s="160">
        <f t="shared" si="12"/>
        <v>14</v>
      </c>
      <c r="T28" s="158">
        <f t="shared" si="12"/>
        <v>9</v>
      </c>
      <c r="U28" s="159">
        <f>J28+Q28+R28+T28+S28</f>
        <v>131</v>
      </c>
      <c r="V28" s="160">
        <f t="shared" si="12"/>
        <v>0</v>
      </c>
      <c r="W28" s="157">
        <f t="shared" si="12"/>
        <v>0</v>
      </c>
      <c r="X28" s="157">
        <f t="shared" si="12"/>
        <v>0</v>
      </c>
      <c r="Y28" s="157">
        <f t="shared" si="12"/>
        <v>16</v>
      </c>
      <c r="Z28" s="157">
        <f t="shared" si="12"/>
        <v>0</v>
      </c>
      <c r="AA28" s="200">
        <f t="shared" si="12"/>
        <v>16</v>
      </c>
      <c r="AB28" s="162">
        <f>J28+SUM(K28:M28)+R28+T28+AA28+S28</f>
        <v>140</v>
      </c>
      <c r="AC28" s="163">
        <f>N28+O28</f>
        <v>7</v>
      </c>
      <c r="AD28" s="164">
        <f t="shared" si="6"/>
        <v>147</v>
      </c>
    </row>
    <row r="29" spans="1:32" s="83" customFormat="1" ht="25.5" customHeight="1" x14ac:dyDescent="0.3">
      <c r="A29" s="231" t="s">
        <v>51</v>
      </c>
      <c r="B29" s="61" t="s">
        <v>76</v>
      </c>
      <c r="C29" s="232" t="s">
        <v>77</v>
      </c>
      <c r="D29" s="63">
        <v>65</v>
      </c>
      <c r="E29" s="63"/>
      <c r="F29" s="64">
        <f t="shared" ref="F29:F37" si="13">D29+E29</f>
        <v>65</v>
      </c>
      <c r="G29" s="78">
        <v>18</v>
      </c>
      <c r="H29" s="78">
        <v>10</v>
      </c>
      <c r="I29" s="233">
        <v>4</v>
      </c>
      <c r="J29" s="234">
        <f t="shared" si="1"/>
        <v>32</v>
      </c>
      <c r="K29" s="235">
        <v>8</v>
      </c>
      <c r="L29" s="77">
        <v>8</v>
      </c>
      <c r="M29" s="77">
        <v>2</v>
      </c>
      <c r="N29" s="236">
        <v>4</v>
      </c>
      <c r="O29" s="237"/>
      <c r="P29" s="222" t="s">
        <v>45</v>
      </c>
      <c r="Q29" s="238">
        <f>SUM(K29:M29)+N29+O29</f>
        <v>22</v>
      </c>
      <c r="R29" s="239"/>
      <c r="S29" s="240"/>
      <c r="T29" s="233"/>
      <c r="U29" s="241">
        <f t="shared" ref="U29:U41" si="14">J29+Q29+R29+T29</f>
        <v>54</v>
      </c>
      <c r="V29" s="242"/>
      <c r="W29" s="77">
        <v>12</v>
      </c>
      <c r="X29" s="77">
        <v>3</v>
      </c>
      <c r="Y29" s="236"/>
      <c r="Z29" s="236"/>
      <c r="AA29" s="243">
        <f t="shared" ref="AA29:AA37" si="15">SUM(V29:Z29)</f>
        <v>15</v>
      </c>
      <c r="AB29" s="80">
        <f t="shared" ref="AB29:AB41" si="16">J29+SUM(K29:M29)+R29+T29+AA29</f>
        <v>65</v>
      </c>
      <c r="AC29" s="244">
        <f>N29+O29</f>
        <v>4</v>
      </c>
      <c r="AD29" s="245">
        <f t="shared" si="6"/>
        <v>69</v>
      </c>
    </row>
    <row r="30" spans="1:32" s="83" customFormat="1" ht="25.5" customHeight="1" x14ac:dyDescent="0.3">
      <c r="A30" s="246"/>
      <c r="B30" s="107"/>
      <c r="C30" s="247" t="s">
        <v>78</v>
      </c>
      <c r="D30" s="109">
        <v>32</v>
      </c>
      <c r="E30" s="109"/>
      <c r="F30" s="110">
        <f t="shared" si="13"/>
        <v>32</v>
      </c>
      <c r="G30" s="136">
        <v>9</v>
      </c>
      <c r="H30" s="143">
        <v>8</v>
      </c>
      <c r="I30" s="144">
        <v>2</v>
      </c>
      <c r="J30" s="145">
        <f t="shared" si="1"/>
        <v>19</v>
      </c>
      <c r="K30" s="119">
        <v>4</v>
      </c>
      <c r="L30" s="124">
        <v>3</v>
      </c>
      <c r="M30" s="124"/>
      <c r="N30" s="147">
        <v>3</v>
      </c>
      <c r="O30" s="143"/>
      <c r="P30" s="148" t="s">
        <v>45</v>
      </c>
      <c r="Q30" s="149">
        <f>SUM(K30:M30)+N30+O30</f>
        <v>10</v>
      </c>
      <c r="R30" s="146"/>
      <c r="S30" s="150"/>
      <c r="T30" s="144"/>
      <c r="U30" s="151">
        <f t="shared" si="14"/>
        <v>29</v>
      </c>
      <c r="V30" s="168"/>
      <c r="W30" s="124">
        <v>4</v>
      </c>
      <c r="X30" s="124">
        <v>2</v>
      </c>
      <c r="Y30" s="147"/>
      <c r="Z30" s="147"/>
      <c r="AA30" s="152">
        <f t="shared" si="15"/>
        <v>6</v>
      </c>
      <c r="AB30" s="126">
        <f t="shared" si="16"/>
        <v>32</v>
      </c>
      <c r="AC30" s="201">
        <f>N30+O30</f>
        <v>3</v>
      </c>
      <c r="AD30" s="170">
        <f t="shared" si="6"/>
        <v>35</v>
      </c>
    </row>
    <row r="31" spans="1:32" s="83" customFormat="1" ht="25.5" customHeight="1" x14ac:dyDescent="0.3">
      <c r="A31" s="246"/>
      <c r="B31" s="107"/>
      <c r="C31" s="190" t="s">
        <v>79</v>
      </c>
      <c r="D31" s="109">
        <v>30</v>
      </c>
      <c r="E31" s="109"/>
      <c r="F31" s="110">
        <f t="shared" si="13"/>
        <v>30</v>
      </c>
      <c r="G31" s="136">
        <v>9</v>
      </c>
      <c r="H31" s="143">
        <v>6</v>
      </c>
      <c r="I31" s="144">
        <v>2</v>
      </c>
      <c r="J31" s="145">
        <f t="shared" si="1"/>
        <v>17</v>
      </c>
      <c r="K31" s="119">
        <v>5</v>
      </c>
      <c r="L31" s="124">
        <v>3</v>
      </c>
      <c r="M31" s="124"/>
      <c r="N31" s="147">
        <v>2</v>
      </c>
      <c r="O31" s="143"/>
      <c r="P31" s="148" t="s">
        <v>45</v>
      </c>
      <c r="Q31" s="149">
        <f>SUM(K31:M31)+N31+O31</f>
        <v>10</v>
      </c>
      <c r="R31" s="146"/>
      <c r="S31" s="150"/>
      <c r="T31" s="144"/>
      <c r="U31" s="151">
        <f t="shared" si="14"/>
        <v>27</v>
      </c>
      <c r="V31" s="168"/>
      <c r="W31" s="124">
        <v>3</v>
      </c>
      <c r="X31" s="124">
        <v>2</v>
      </c>
      <c r="Y31" s="147"/>
      <c r="Z31" s="147"/>
      <c r="AA31" s="152">
        <f t="shared" si="15"/>
        <v>5</v>
      </c>
      <c r="AB31" s="126">
        <f t="shared" si="16"/>
        <v>30</v>
      </c>
      <c r="AC31" s="201">
        <f>N31+O31</f>
        <v>2</v>
      </c>
      <c r="AD31" s="170">
        <f t="shared" si="6"/>
        <v>32</v>
      </c>
    </row>
    <row r="32" spans="1:32" s="83" customFormat="1" ht="25.5" customHeight="1" x14ac:dyDescent="0.3">
      <c r="A32" s="246"/>
      <c r="B32" s="107"/>
      <c r="C32" s="190" t="s">
        <v>80</v>
      </c>
      <c r="D32" s="109">
        <v>15</v>
      </c>
      <c r="E32" s="109"/>
      <c r="F32" s="110">
        <f t="shared" si="13"/>
        <v>15</v>
      </c>
      <c r="G32" s="143">
        <v>2</v>
      </c>
      <c r="H32" s="143"/>
      <c r="I32" s="144">
        <v>1</v>
      </c>
      <c r="J32" s="145">
        <f t="shared" si="1"/>
        <v>3</v>
      </c>
      <c r="K32" s="119">
        <v>7</v>
      </c>
      <c r="L32" s="124">
        <v>2</v>
      </c>
      <c r="M32" s="124"/>
      <c r="N32" s="248" t="s">
        <v>81</v>
      </c>
      <c r="O32" s="248" t="s">
        <v>73</v>
      </c>
      <c r="P32" s="148" t="s">
        <v>45</v>
      </c>
      <c r="Q32" s="149">
        <f>SUM(K32:M32)</f>
        <v>9</v>
      </c>
      <c r="R32" s="146"/>
      <c r="S32" s="150"/>
      <c r="T32" s="144"/>
      <c r="U32" s="151">
        <f t="shared" si="14"/>
        <v>12</v>
      </c>
      <c r="V32" s="168"/>
      <c r="W32" s="124"/>
      <c r="X32" s="124"/>
      <c r="Y32" s="147"/>
      <c r="Z32" s="147">
        <v>3</v>
      </c>
      <c r="AA32" s="152">
        <f t="shared" si="15"/>
        <v>3</v>
      </c>
      <c r="AB32" s="126">
        <f t="shared" si="16"/>
        <v>15</v>
      </c>
      <c r="AC32" s="249">
        <v>5</v>
      </c>
      <c r="AD32" s="170">
        <f t="shared" si="6"/>
        <v>15</v>
      </c>
    </row>
    <row r="33" spans="1:30" s="83" customFormat="1" ht="25.5" customHeight="1" x14ac:dyDescent="0.3">
      <c r="A33" s="246"/>
      <c r="B33" s="107"/>
      <c r="C33" s="190" t="s">
        <v>82</v>
      </c>
      <c r="D33" s="109">
        <v>25</v>
      </c>
      <c r="E33" s="109"/>
      <c r="F33" s="110">
        <f t="shared" si="13"/>
        <v>25</v>
      </c>
      <c r="G33" s="111">
        <v>8</v>
      </c>
      <c r="H33" s="143"/>
      <c r="I33" s="144">
        <v>1</v>
      </c>
      <c r="J33" s="145">
        <f t="shared" si="1"/>
        <v>9</v>
      </c>
      <c r="K33" s="119">
        <v>11</v>
      </c>
      <c r="L33" s="124">
        <v>3</v>
      </c>
      <c r="M33" s="124"/>
      <c r="N33" s="250"/>
      <c r="O33" s="250"/>
      <c r="P33" s="148" t="s">
        <v>45</v>
      </c>
      <c r="Q33" s="149">
        <f>SUM(K33:M33)</f>
        <v>14</v>
      </c>
      <c r="R33" s="146"/>
      <c r="S33" s="150"/>
      <c r="T33" s="144"/>
      <c r="U33" s="151">
        <f t="shared" si="14"/>
        <v>23</v>
      </c>
      <c r="V33" s="168"/>
      <c r="W33" s="124">
        <v>2</v>
      </c>
      <c r="X33" s="124"/>
      <c r="Y33" s="147"/>
      <c r="Z33" s="147"/>
      <c r="AA33" s="152">
        <f t="shared" si="15"/>
        <v>2</v>
      </c>
      <c r="AB33" s="126">
        <f t="shared" si="16"/>
        <v>25</v>
      </c>
      <c r="AC33" s="249"/>
      <c r="AD33" s="170">
        <f t="shared" si="6"/>
        <v>25</v>
      </c>
    </row>
    <row r="34" spans="1:30" s="83" customFormat="1" ht="25.5" customHeight="1" x14ac:dyDescent="0.3">
      <c r="A34" s="246"/>
      <c r="B34" s="107"/>
      <c r="C34" s="190" t="s">
        <v>83</v>
      </c>
      <c r="D34" s="109">
        <v>30</v>
      </c>
      <c r="E34" s="109"/>
      <c r="F34" s="110">
        <f t="shared" si="13"/>
        <v>30</v>
      </c>
      <c r="G34" s="143">
        <v>2</v>
      </c>
      <c r="H34" s="143"/>
      <c r="I34" s="144">
        <v>1</v>
      </c>
      <c r="J34" s="145">
        <f t="shared" si="1"/>
        <v>3</v>
      </c>
      <c r="K34" s="119">
        <v>22</v>
      </c>
      <c r="L34" s="124">
        <v>3</v>
      </c>
      <c r="M34" s="124"/>
      <c r="N34" s="250"/>
      <c r="O34" s="250"/>
      <c r="P34" s="148" t="s">
        <v>45</v>
      </c>
      <c r="Q34" s="149">
        <f>SUM(K34:M34)</f>
        <v>25</v>
      </c>
      <c r="R34" s="146"/>
      <c r="S34" s="150"/>
      <c r="T34" s="144"/>
      <c r="U34" s="151">
        <f t="shared" si="14"/>
        <v>28</v>
      </c>
      <c r="V34" s="168"/>
      <c r="W34" s="124">
        <v>2</v>
      </c>
      <c r="X34" s="124"/>
      <c r="Y34" s="147"/>
      <c r="Z34" s="147"/>
      <c r="AA34" s="152">
        <f t="shared" si="15"/>
        <v>2</v>
      </c>
      <c r="AB34" s="126">
        <f t="shared" si="16"/>
        <v>30</v>
      </c>
      <c r="AC34" s="249"/>
      <c r="AD34" s="170">
        <f t="shared" si="6"/>
        <v>30</v>
      </c>
    </row>
    <row r="35" spans="1:30" s="83" customFormat="1" ht="25.5" customHeight="1" x14ac:dyDescent="0.3">
      <c r="A35" s="246"/>
      <c r="B35" s="107"/>
      <c r="C35" s="247" t="s">
        <v>84</v>
      </c>
      <c r="D35" s="109">
        <v>30</v>
      </c>
      <c r="E35" s="109"/>
      <c r="F35" s="110">
        <f t="shared" si="13"/>
        <v>30</v>
      </c>
      <c r="G35" s="136">
        <v>10</v>
      </c>
      <c r="H35" s="143">
        <v>6</v>
      </c>
      <c r="I35" s="144">
        <v>2</v>
      </c>
      <c r="J35" s="145">
        <f t="shared" si="1"/>
        <v>18</v>
      </c>
      <c r="K35" s="119">
        <v>5</v>
      </c>
      <c r="L35" s="124">
        <v>2</v>
      </c>
      <c r="M35" s="124"/>
      <c r="N35" s="147">
        <v>2</v>
      </c>
      <c r="O35" s="143"/>
      <c r="P35" s="148" t="s">
        <v>45</v>
      </c>
      <c r="Q35" s="149">
        <f>SUM(K35:M35)+N35</f>
        <v>9</v>
      </c>
      <c r="R35" s="146"/>
      <c r="S35" s="150"/>
      <c r="T35" s="144"/>
      <c r="U35" s="151">
        <f t="shared" si="14"/>
        <v>27</v>
      </c>
      <c r="V35" s="168"/>
      <c r="W35" s="124">
        <v>3</v>
      </c>
      <c r="X35" s="124">
        <v>2</v>
      </c>
      <c r="Y35" s="147"/>
      <c r="Z35" s="147"/>
      <c r="AA35" s="152">
        <f t="shared" si="15"/>
        <v>5</v>
      </c>
      <c r="AB35" s="126">
        <f t="shared" si="16"/>
        <v>30</v>
      </c>
      <c r="AC35" s="201">
        <f t="shared" ref="AC35:AC41" si="17">N35+O35</f>
        <v>2</v>
      </c>
      <c r="AD35" s="170">
        <f t="shared" si="6"/>
        <v>32</v>
      </c>
    </row>
    <row r="36" spans="1:30" s="83" customFormat="1" ht="25.5" customHeight="1" x14ac:dyDescent="0.3">
      <c r="A36" s="246"/>
      <c r="B36" s="107"/>
      <c r="C36" s="247" t="s">
        <v>85</v>
      </c>
      <c r="D36" s="109">
        <v>40</v>
      </c>
      <c r="E36" s="109"/>
      <c r="F36" s="110">
        <f t="shared" si="13"/>
        <v>40</v>
      </c>
      <c r="G36" s="143">
        <v>12</v>
      </c>
      <c r="H36" s="143">
        <v>3</v>
      </c>
      <c r="I36" s="144">
        <v>2</v>
      </c>
      <c r="J36" s="145">
        <f t="shared" si="1"/>
        <v>17</v>
      </c>
      <c r="K36" s="119">
        <v>14</v>
      </c>
      <c r="L36" s="124">
        <v>5</v>
      </c>
      <c r="M36" s="124"/>
      <c r="N36" s="147">
        <v>2</v>
      </c>
      <c r="O36" s="143"/>
      <c r="P36" s="148" t="s">
        <v>45</v>
      </c>
      <c r="Q36" s="149">
        <f>SUM(K36:M36)+N36</f>
        <v>21</v>
      </c>
      <c r="R36" s="146"/>
      <c r="S36" s="150"/>
      <c r="T36" s="144"/>
      <c r="U36" s="151">
        <f t="shared" si="14"/>
        <v>38</v>
      </c>
      <c r="V36" s="168"/>
      <c r="W36" s="124">
        <v>4</v>
      </c>
      <c r="X36" s="124"/>
      <c r="Y36" s="147"/>
      <c r="Z36" s="147"/>
      <c r="AA36" s="152">
        <f t="shared" si="15"/>
        <v>4</v>
      </c>
      <c r="AB36" s="126">
        <f t="shared" si="16"/>
        <v>40</v>
      </c>
      <c r="AC36" s="201">
        <f t="shared" si="17"/>
        <v>2</v>
      </c>
      <c r="AD36" s="170">
        <f t="shared" si="6"/>
        <v>42</v>
      </c>
    </row>
    <row r="37" spans="1:30" s="83" customFormat="1" ht="25.5" customHeight="1" x14ac:dyDescent="0.3">
      <c r="A37" s="246"/>
      <c r="B37" s="107"/>
      <c r="C37" s="247" t="s">
        <v>86</v>
      </c>
      <c r="D37" s="109">
        <v>32</v>
      </c>
      <c r="E37" s="109"/>
      <c r="F37" s="110">
        <f t="shared" si="13"/>
        <v>32</v>
      </c>
      <c r="G37" s="143">
        <v>8</v>
      </c>
      <c r="H37" s="136">
        <v>3</v>
      </c>
      <c r="I37" s="144">
        <v>2</v>
      </c>
      <c r="J37" s="145">
        <f t="shared" si="1"/>
        <v>13</v>
      </c>
      <c r="K37" s="146">
        <v>11</v>
      </c>
      <c r="L37" s="147">
        <v>4</v>
      </c>
      <c r="M37" s="147"/>
      <c r="N37" s="147">
        <v>2</v>
      </c>
      <c r="O37" s="143"/>
      <c r="P37" s="148" t="s">
        <v>45</v>
      </c>
      <c r="Q37" s="149">
        <f>SUM(K37:M37)+N37</f>
        <v>17</v>
      </c>
      <c r="R37" s="146"/>
      <c r="S37" s="150"/>
      <c r="T37" s="144"/>
      <c r="U37" s="151">
        <f t="shared" si="14"/>
        <v>30</v>
      </c>
      <c r="V37" s="168"/>
      <c r="W37" s="147">
        <v>4</v>
      </c>
      <c r="X37" s="147"/>
      <c r="Y37" s="147"/>
      <c r="Z37" s="147"/>
      <c r="AA37" s="152">
        <f t="shared" si="15"/>
        <v>4</v>
      </c>
      <c r="AB37" s="126">
        <f t="shared" si="16"/>
        <v>32</v>
      </c>
      <c r="AC37" s="201">
        <f t="shared" si="17"/>
        <v>2</v>
      </c>
      <c r="AD37" s="170">
        <f t="shared" si="6"/>
        <v>34</v>
      </c>
    </row>
    <row r="38" spans="1:30" s="83" customFormat="1" ht="25.5" customHeight="1" thickBot="1" x14ac:dyDescent="0.35">
      <c r="A38" s="153" t="s">
        <v>54</v>
      </c>
      <c r="B38" s="154"/>
      <c r="C38" s="154"/>
      <c r="D38" s="155">
        <f t="shared" ref="D38:AA38" si="18">SUM(D29:D37)</f>
        <v>299</v>
      </c>
      <c r="E38" s="155">
        <f t="shared" si="18"/>
        <v>0</v>
      </c>
      <c r="F38" s="156">
        <f t="shared" si="18"/>
        <v>299</v>
      </c>
      <c r="G38" s="157">
        <f t="shared" si="18"/>
        <v>78</v>
      </c>
      <c r="H38" s="157">
        <f t="shared" si="18"/>
        <v>36</v>
      </c>
      <c r="I38" s="158">
        <f t="shared" si="18"/>
        <v>17</v>
      </c>
      <c r="J38" s="159">
        <f t="shared" si="1"/>
        <v>131</v>
      </c>
      <c r="K38" s="160">
        <f t="shared" si="18"/>
        <v>87</v>
      </c>
      <c r="L38" s="157">
        <f t="shared" si="18"/>
        <v>33</v>
      </c>
      <c r="M38" s="157">
        <f t="shared" si="18"/>
        <v>2</v>
      </c>
      <c r="N38" s="157">
        <v>18</v>
      </c>
      <c r="O38" s="157">
        <v>2</v>
      </c>
      <c r="P38" s="157">
        <f t="shared" si="18"/>
        <v>0</v>
      </c>
      <c r="Q38" s="159">
        <f>SUM(K38:M38)+N38+O38</f>
        <v>142</v>
      </c>
      <c r="R38" s="160">
        <f t="shared" si="18"/>
        <v>0</v>
      </c>
      <c r="S38" s="160">
        <f t="shared" si="18"/>
        <v>0</v>
      </c>
      <c r="T38" s="158">
        <f t="shared" si="18"/>
        <v>0</v>
      </c>
      <c r="U38" s="159">
        <f t="shared" si="14"/>
        <v>273</v>
      </c>
      <c r="V38" s="160">
        <f t="shared" si="18"/>
        <v>0</v>
      </c>
      <c r="W38" s="157">
        <f t="shared" si="18"/>
        <v>34</v>
      </c>
      <c r="X38" s="157">
        <f t="shared" si="18"/>
        <v>9</v>
      </c>
      <c r="Y38" s="157">
        <f t="shared" si="18"/>
        <v>0</v>
      </c>
      <c r="Z38" s="157">
        <f t="shared" si="18"/>
        <v>3</v>
      </c>
      <c r="AA38" s="161">
        <f t="shared" si="18"/>
        <v>46</v>
      </c>
      <c r="AB38" s="162">
        <f t="shared" si="16"/>
        <v>299</v>
      </c>
      <c r="AC38" s="163">
        <f t="shared" si="17"/>
        <v>20</v>
      </c>
      <c r="AD38" s="164">
        <f t="shared" si="6"/>
        <v>319</v>
      </c>
    </row>
    <row r="39" spans="1:30" s="171" customFormat="1" ht="25.5" customHeight="1" x14ac:dyDescent="0.3">
      <c r="A39" s="251" t="s">
        <v>51</v>
      </c>
      <c r="B39" s="61" t="s">
        <v>87</v>
      </c>
      <c r="C39" s="252" t="s">
        <v>88</v>
      </c>
      <c r="D39" s="109">
        <v>38</v>
      </c>
      <c r="E39" s="63"/>
      <c r="F39" s="64">
        <f>D39+E39</f>
        <v>38</v>
      </c>
      <c r="G39" s="237">
        <v>3</v>
      </c>
      <c r="H39" s="237"/>
      <c r="I39" s="109">
        <v>2</v>
      </c>
      <c r="J39" s="234">
        <f t="shared" si="1"/>
        <v>5</v>
      </c>
      <c r="K39" s="111">
        <v>21</v>
      </c>
      <c r="L39" s="111">
        <v>7</v>
      </c>
      <c r="M39" s="236"/>
      <c r="N39" s="236"/>
      <c r="O39" s="237"/>
      <c r="P39" s="222" t="s">
        <v>45</v>
      </c>
      <c r="Q39" s="238">
        <f>SUM(K39:M39)</f>
        <v>28</v>
      </c>
      <c r="R39" s="239"/>
      <c r="S39" s="240"/>
      <c r="T39" s="233"/>
      <c r="U39" s="241">
        <f t="shared" si="14"/>
        <v>33</v>
      </c>
      <c r="V39" s="242"/>
      <c r="W39" s="236">
        <v>5</v>
      </c>
      <c r="X39" s="236"/>
      <c r="Y39" s="236"/>
      <c r="Z39" s="236"/>
      <c r="AA39" s="243">
        <f>SUM(V39:Z39)</f>
        <v>5</v>
      </c>
      <c r="AB39" s="80">
        <f t="shared" si="16"/>
        <v>38</v>
      </c>
      <c r="AC39" s="244">
        <f t="shared" si="17"/>
        <v>0</v>
      </c>
      <c r="AD39" s="245">
        <f t="shared" si="6"/>
        <v>38</v>
      </c>
    </row>
    <row r="40" spans="1:30" ht="25.5" customHeight="1" x14ac:dyDescent="0.3">
      <c r="A40" s="253"/>
      <c r="B40" s="107"/>
      <c r="C40" s="254" t="s">
        <v>89</v>
      </c>
      <c r="D40" s="109">
        <v>38</v>
      </c>
      <c r="E40" s="109"/>
      <c r="F40" s="110">
        <f>D40+E40</f>
        <v>38</v>
      </c>
      <c r="G40" s="143">
        <v>3</v>
      </c>
      <c r="H40" s="143"/>
      <c r="I40" s="144">
        <v>2</v>
      </c>
      <c r="J40" s="145">
        <f t="shared" si="1"/>
        <v>5</v>
      </c>
      <c r="K40" s="111">
        <v>21</v>
      </c>
      <c r="L40" s="147">
        <v>7</v>
      </c>
      <c r="M40" s="147"/>
      <c r="N40" s="147"/>
      <c r="O40" s="143"/>
      <c r="P40" s="148" t="s">
        <v>45</v>
      </c>
      <c r="Q40" s="149">
        <f>SUM(K40:M40)</f>
        <v>28</v>
      </c>
      <c r="R40" s="146"/>
      <c r="S40" s="150"/>
      <c r="T40" s="144"/>
      <c r="U40" s="151">
        <f t="shared" si="14"/>
        <v>33</v>
      </c>
      <c r="V40" s="168"/>
      <c r="W40" s="109">
        <v>5</v>
      </c>
      <c r="X40" s="147"/>
      <c r="Y40" s="147"/>
      <c r="Z40" s="147"/>
      <c r="AA40" s="152">
        <f>SUM(V40:Z40)</f>
        <v>5</v>
      </c>
      <c r="AB40" s="126">
        <f t="shared" si="16"/>
        <v>38</v>
      </c>
      <c r="AC40" s="201">
        <f t="shared" si="17"/>
        <v>0</v>
      </c>
      <c r="AD40" s="170">
        <f t="shared" si="6"/>
        <v>38</v>
      </c>
    </row>
    <row r="41" spans="1:30" ht="25.5" customHeight="1" thickBot="1" x14ac:dyDescent="0.35">
      <c r="A41" s="153" t="s">
        <v>54</v>
      </c>
      <c r="B41" s="154"/>
      <c r="C41" s="154"/>
      <c r="D41" s="155">
        <f t="shared" ref="D41:AA41" si="19">SUM(D39:D40)</f>
        <v>76</v>
      </c>
      <c r="E41" s="155">
        <f t="shared" si="19"/>
        <v>0</v>
      </c>
      <c r="F41" s="156">
        <f t="shared" si="19"/>
        <v>76</v>
      </c>
      <c r="G41" s="157">
        <f t="shared" si="19"/>
        <v>6</v>
      </c>
      <c r="H41" s="157">
        <f t="shared" si="19"/>
        <v>0</v>
      </c>
      <c r="I41" s="158">
        <f t="shared" si="19"/>
        <v>4</v>
      </c>
      <c r="J41" s="159">
        <f t="shared" si="1"/>
        <v>10</v>
      </c>
      <c r="K41" s="160">
        <f t="shared" si="19"/>
        <v>42</v>
      </c>
      <c r="L41" s="157">
        <f t="shared" si="19"/>
        <v>14</v>
      </c>
      <c r="M41" s="157">
        <f t="shared" si="19"/>
        <v>0</v>
      </c>
      <c r="N41" s="157">
        <f t="shared" si="19"/>
        <v>0</v>
      </c>
      <c r="O41" s="157">
        <v>0</v>
      </c>
      <c r="P41" s="157">
        <f t="shared" si="19"/>
        <v>0</v>
      </c>
      <c r="Q41" s="159">
        <f>SUM(K41:M41)</f>
        <v>56</v>
      </c>
      <c r="R41" s="160">
        <f t="shared" si="19"/>
        <v>0</v>
      </c>
      <c r="S41" s="160">
        <f t="shared" si="19"/>
        <v>0</v>
      </c>
      <c r="T41" s="158">
        <f t="shared" si="19"/>
        <v>0</v>
      </c>
      <c r="U41" s="159">
        <f t="shared" si="14"/>
        <v>66</v>
      </c>
      <c r="V41" s="160">
        <f t="shared" si="19"/>
        <v>0</v>
      </c>
      <c r="W41" s="157">
        <f t="shared" si="19"/>
        <v>10</v>
      </c>
      <c r="X41" s="157">
        <f t="shared" si="19"/>
        <v>0</v>
      </c>
      <c r="Y41" s="157">
        <f t="shared" si="19"/>
        <v>0</v>
      </c>
      <c r="Z41" s="157">
        <f t="shared" si="19"/>
        <v>0</v>
      </c>
      <c r="AA41" s="161">
        <f t="shared" si="19"/>
        <v>10</v>
      </c>
      <c r="AB41" s="162">
        <f t="shared" si="16"/>
        <v>76</v>
      </c>
      <c r="AC41" s="163">
        <f t="shared" si="17"/>
        <v>0</v>
      </c>
      <c r="AD41" s="164">
        <f t="shared" si="6"/>
        <v>76</v>
      </c>
    </row>
    <row r="42" spans="1:30" ht="25.5" customHeight="1" x14ac:dyDescent="0.3">
      <c r="A42" s="256" t="s">
        <v>90</v>
      </c>
      <c r="B42" s="257"/>
      <c r="C42" s="257"/>
      <c r="D42" s="258">
        <f t="shared" ref="D42:O42" si="20">D15+D28+D38+D41+D24</f>
        <v>1302</v>
      </c>
      <c r="E42" s="259">
        <f t="shared" si="20"/>
        <v>1</v>
      </c>
      <c r="F42" s="260">
        <f t="shared" si="20"/>
        <v>1303</v>
      </c>
      <c r="G42" s="261">
        <f t="shared" si="20"/>
        <v>199</v>
      </c>
      <c r="H42" s="261">
        <f t="shared" si="20"/>
        <v>36</v>
      </c>
      <c r="I42" s="262">
        <f t="shared" si="20"/>
        <v>59</v>
      </c>
      <c r="J42" s="263">
        <f t="shared" si="20"/>
        <v>294</v>
      </c>
      <c r="K42" s="264">
        <f t="shared" si="20"/>
        <v>609</v>
      </c>
      <c r="L42" s="261">
        <f t="shared" si="20"/>
        <v>146</v>
      </c>
      <c r="M42" s="261">
        <f t="shared" si="20"/>
        <v>2</v>
      </c>
      <c r="N42" s="261">
        <f t="shared" si="20"/>
        <v>52</v>
      </c>
      <c r="O42" s="261">
        <f t="shared" si="20"/>
        <v>19</v>
      </c>
      <c r="P42" s="261">
        <v>7</v>
      </c>
      <c r="Q42" s="263">
        <f>Q15+Q28+Q38+Q41+Q24+P42</f>
        <v>835</v>
      </c>
      <c r="R42" s="265">
        <f>R15+R28+R38+R41+R24</f>
        <v>72</v>
      </c>
      <c r="S42" s="265">
        <f>S15+S28+S38+S41+S24</f>
        <v>14</v>
      </c>
      <c r="T42" s="266">
        <f>T15+T28+T38+T41+T24</f>
        <v>9</v>
      </c>
      <c r="U42" s="267">
        <f>U15+U28+U38+U41+U24+P42</f>
        <v>1224</v>
      </c>
      <c r="V42" s="265">
        <f t="shared" ref="V42:AB42" si="21">V15+V28+V38+V41+V24</f>
        <v>33</v>
      </c>
      <c r="W42" s="268">
        <f t="shared" si="21"/>
        <v>63</v>
      </c>
      <c r="X42" s="268">
        <f t="shared" si="21"/>
        <v>9</v>
      </c>
      <c r="Y42" s="268">
        <f t="shared" si="21"/>
        <v>16</v>
      </c>
      <c r="Z42" s="268">
        <f t="shared" si="21"/>
        <v>36</v>
      </c>
      <c r="AA42" s="267">
        <f t="shared" si="21"/>
        <v>157</v>
      </c>
      <c r="AB42" s="269">
        <f t="shared" si="21"/>
        <v>1303</v>
      </c>
      <c r="AC42" s="262">
        <f>AC15+AC28+AC38+AC41+AC24+P42</f>
        <v>78</v>
      </c>
      <c r="AD42" s="263">
        <f>AD15+AD28+AD38+AD41+AD24+P42</f>
        <v>1381</v>
      </c>
    </row>
    <row r="43" spans="1:30" s="281" customFormat="1" ht="25.5" customHeight="1" thickBot="1" x14ac:dyDescent="0.35">
      <c r="A43" s="270"/>
      <c r="B43" s="271"/>
      <c r="C43" s="271"/>
      <c r="D43" s="272"/>
      <c r="E43" s="273"/>
      <c r="F43" s="274"/>
      <c r="G43" s="275">
        <f t="shared" ref="G43:AD43" si="22">G42/$AD$42</f>
        <v>0.14409847936278058</v>
      </c>
      <c r="H43" s="275">
        <f t="shared" si="22"/>
        <v>2.606806661839247E-2</v>
      </c>
      <c r="I43" s="276">
        <f t="shared" si="22"/>
        <v>4.2722664735698766E-2</v>
      </c>
      <c r="J43" s="277">
        <f t="shared" si="22"/>
        <v>0.21288921071687184</v>
      </c>
      <c r="K43" s="278">
        <f t="shared" si="22"/>
        <v>0.44098479362780596</v>
      </c>
      <c r="L43" s="275">
        <f t="shared" si="22"/>
        <v>0.1057204923968139</v>
      </c>
      <c r="M43" s="275">
        <f t="shared" si="22"/>
        <v>1.448225923244026E-3</v>
      </c>
      <c r="N43" s="275">
        <f t="shared" si="22"/>
        <v>3.7653874004344681E-2</v>
      </c>
      <c r="O43" s="275">
        <f t="shared" si="22"/>
        <v>1.3758146270818247E-2</v>
      </c>
      <c r="P43" s="275">
        <f t="shared" si="22"/>
        <v>5.0687907313540911E-3</v>
      </c>
      <c r="Q43" s="277">
        <f t="shared" si="22"/>
        <v>0.60463432295438091</v>
      </c>
      <c r="R43" s="278">
        <f t="shared" si="22"/>
        <v>5.213613323678494E-2</v>
      </c>
      <c r="S43" s="278">
        <f t="shared" si="22"/>
        <v>1.0137581462708182E-2</v>
      </c>
      <c r="T43" s="276">
        <f t="shared" si="22"/>
        <v>6.5170166545981175E-3</v>
      </c>
      <c r="U43" s="277">
        <f t="shared" si="22"/>
        <v>0.88631426502534394</v>
      </c>
      <c r="V43" s="278">
        <f t="shared" si="22"/>
        <v>2.3895727733526429E-2</v>
      </c>
      <c r="W43" s="275">
        <f t="shared" si="22"/>
        <v>4.5619116582186821E-2</v>
      </c>
      <c r="X43" s="275">
        <f t="shared" si="22"/>
        <v>6.5170166545981175E-3</v>
      </c>
      <c r="Y43" s="275">
        <f t="shared" si="22"/>
        <v>1.1585807385952208E-2</v>
      </c>
      <c r="Z43" s="275">
        <f t="shared" si="22"/>
        <v>2.606806661839247E-2</v>
      </c>
      <c r="AA43" s="277">
        <f t="shared" si="22"/>
        <v>0.11368573497465605</v>
      </c>
      <c r="AB43" s="279">
        <f t="shared" si="22"/>
        <v>0.94351918899348297</v>
      </c>
      <c r="AC43" s="280">
        <f t="shared" si="22"/>
        <v>5.6480811006517015E-2</v>
      </c>
      <c r="AD43" s="277">
        <f t="shared" si="22"/>
        <v>1</v>
      </c>
    </row>
    <row r="44" spans="1:30" s="286" customFormat="1" ht="18.75" customHeight="1" x14ac:dyDescent="0.3">
      <c r="A44" s="282"/>
      <c r="B44" s="282"/>
      <c r="C44" s="282"/>
      <c r="D44" s="283"/>
      <c r="E44" s="283"/>
      <c r="F44" s="283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5"/>
      <c r="AD44" s="284"/>
    </row>
  </sheetData>
  <mergeCells count="74">
    <mergeCell ref="E42:E43"/>
    <mergeCell ref="F42:F43"/>
    <mergeCell ref="A38:C38"/>
    <mergeCell ref="A39:A40"/>
    <mergeCell ref="B39:B40"/>
    <mergeCell ref="A41:C41"/>
    <mergeCell ref="A42:C43"/>
    <mergeCell ref="D42:D43"/>
    <mergeCell ref="A28:C28"/>
    <mergeCell ref="A29:A37"/>
    <mergeCell ref="B29:B37"/>
    <mergeCell ref="N32:N34"/>
    <mergeCell ref="O32:O34"/>
    <mergeCell ref="AC32:AC34"/>
    <mergeCell ref="A24:C24"/>
    <mergeCell ref="A25:A27"/>
    <mergeCell ref="B25:B27"/>
    <mergeCell ref="N25:N27"/>
    <mergeCell ref="O25:O27"/>
    <mergeCell ref="AC25:AC27"/>
    <mergeCell ref="A16:A18"/>
    <mergeCell ref="B18:B23"/>
    <mergeCell ref="A19:A23"/>
    <mergeCell ref="N19:N23"/>
    <mergeCell ref="O19:O23"/>
    <mergeCell ref="AC19:AC23"/>
    <mergeCell ref="A7:A12"/>
    <mergeCell ref="B7:B14"/>
    <mergeCell ref="N7:N14"/>
    <mergeCell ref="O7:O14"/>
    <mergeCell ref="AC7:AC14"/>
    <mergeCell ref="A15:C15"/>
    <mergeCell ref="T5:T6"/>
    <mergeCell ref="V5:V6"/>
    <mergeCell ref="W5:W6"/>
    <mergeCell ref="X5:X6"/>
    <mergeCell ref="Y5:Y6"/>
    <mergeCell ref="Z5:Z6"/>
    <mergeCell ref="M5:M6"/>
    <mergeCell ref="N5:N6"/>
    <mergeCell ref="O5:O6"/>
    <mergeCell ref="P5:P6"/>
    <mergeCell ref="R5:R6"/>
    <mergeCell ref="S5:S6"/>
    <mergeCell ref="K4:M4"/>
    <mergeCell ref="N4:P4"/>
    <mergeCell ref="Q4:Q6"/>
    <mergeCell ref="R4:T4"/>
    <mergeCell ref="W4:Y4"/>
    <mergeCell ref="G5:G6"/>
    <mergeCell ref="H5:H6"/>
    <mergeCell ref="I5:I6"/>
    <mergeCell ref="K5:K6"/>
    <mergeCell ref="L5:L6"/>
    <mergeCell ref="AC2:AC6"/>
    <mergeCell ref="AD2:AD6"/>
    <mergeCell ref="G3:J3"/>
    <mergeCell ref="K3:Q3"/>
    <mergeCell ref="R3:T3"/>
    <mergeCell ref="U3:U6"/>
    <mergeCell ref="W3:Y3"/>
    <mergeCell ref="AA3:AA6"/>
    <mergeCell ref="G4:I4"/>
    <mergeCell ref="J4:J6"/>
    <mergeCell ref="B1:AD1"/>
    <mergeCell ref="A2:A6"/>
    <mergeCell ref="B2:B6"/>
    <mergeCell ref="C2:C6"/>
    <mergeCell ref="D2:D6"/>
    <mergeCell ref="E2:E6"/>
    <mergeCell ref="F2:F6"/>
    <mergeCell ref="G2:U2"/>
    <mergeCell ref="V2:AA2"/>
    <mergeCell ref="AB2:AB6"/>
  </mergeCells>
  <phoneticPr fontId="3" type="noConversion"/>
  <pageMargins left="0.25" right="0.25" top="0.75" bottom="0.75" header="0.30000001192092896" footer="0.30000001192092896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삼척캠퍼스</vt:lpstr>
      <vt:lpstr>삼척캠퍼스!Print_Area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2026-04-29T04:49:56Z</dcterms:created>
  <dcterms:modified xsi:type="dcterms:W3CDTF">2026-04-29T04:50:33Z</dcterms:modified>
</cp:coreProperties>
</file>