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2028학년도 시행계획(결재)\홈페이지 공지(최종)_260430\"/>
    </mc:Choice>
  </mc:AlternateContent>
  <bookViews>
    <workbookView xWindow="-120" yWindow="-120" windowWidth="29040" windowHeight="15720"/>
  </bookViews>
  <sheets>
    <sheet name="춘천캠퍼스" sheetId="34" r:id="rId1"/>
    <sheet name="2026학년도(당초) 공표안" sheetId="18" state="hidden" r:id="rId2"/>
    <sheet name="(참고) 2027 시행계획" sheetId="23" state="hidden" r:id="rId3"/>
    <sheet name="(참고) 2025 시행계획" sheetId="17" state="hidden" r:id="rId4"/>
  </sheets>
  <definedNames>
    <definedName name="_xlnm._FilterDatabase" localSheetId="3" hidden="1">'(참고) 2025 시행계획'!$A$5:$AJ$94</definedName>
    <definedName name="_xlnm._FilterDatabase" localSheetId="2" hidden="1">'(참고) 2027 시행계획'!$A$5:$AP$94</definedName>
    <definedName name="_xlnm._FilterDatabase" localSheetId="1" hidden="1">'2026학년도(당초) 공표안'!$A$5:$AR$90</definedName>
    <definedName name="_xlnm._FilterDatabase" localSheetId="0" hidden="1">춘천캠퍼스!$A$5:$AW$116</definedName>
    <definedName name="_xlnm.Print_Area" localSheetId="2">'(참고) 2027 시행계획'!$A$1:$AO$94</definedName>
    <definedName name="_xlnm.Print_Area" localSheetId="1">'2026학년도(당초) 공표안'!$A$1:$AR$90</definedName>
    <definedName name="_xlnm.Print_Area" localSheetId="0">춘천캠퍼스!$A$1:$AW$116</definedName>
    <definedName name="_xlnm.Print_Titles" localSheetId="3">'(참고) 2025 시행계획'!$2:$5</definedName>
    <definedName name="_xlnm.Print_Titles" localSheetId="2">'(참고) 2027 시행계획'!$2:$5</definedName>
    <definedName name="_xlnm.Print_Titles" localSheetId="1">'2026학년도(당초) 공표안'!$2:$5</definedName>
    <definedName name="_xlnm.Print_Titles" localSheetId="0">춘천캠퍼스!$2:$5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8" i="34" l="1"/>
  <c r="R58" i="34"/>
  <c r="S58" i="34"/>
  <c r="T58" i="34"/>
  <c r="U58" i="34"/>
  <c r="V58" i="34"/>
  <c r="Q45" i="34"/>
  <c r="R45" i="34"/>
  <c r="S45" i="34"/>
  <c r="T45" i="34"/>
  <c r="U45" i="34"/>
  <c r="V45" i="34"/>
  <c r="Q28" i="34"/>
  <c r="R28" i="34"/>
  <c r="S28" i="34"/>
  <c r="T28" i="34"/>
  <c r="U28" i="34"/>
  <c r="V28" i="34"/>
  <c r="Q23" i="34"/>
  <c r="R23" i="34"/>
  <c r="S23" i="34"/>
  <c r="T23" i="34"/>
  <c r="U23" i="34"/>
  <c r="V23" i="34"/>
  <c r="Q13" i="34"/>
  <c r="R13" i="34"/>
  <c r="S13" i="34"/>
  <c r="T13" i="34"/>
  <c r="U13" i="34"/>
  <c r="V13" i="34"/>
  <c r="Q7" i="34"/>
  <c r="R7" i="34"/>
  <c r="S7" i="34"/>
  <c r="T7" i="34"/>
  <c r="U7" i="34"/>
  <c r="V7" i="34"/>
  <c r="Q67" i="34" l="1"/>
  <c r="R67" i="34"/>
  <c r="S67" i="34"/>
  <c r="T67" i="34"/>
  <c r="U67" i="34"/>
  <c r="V67" i="34"/>
  <c r="Q75" i="34"/>
  <c r="R75" i="34"/>
  <c r="S75" i="34"/>
  <c r="T75" i="34"/>
  <c r="U75" i="34"/>
  <c r="V75" i="34"/>
  <c r="Q77" i="34"/>
  <c r="R77" i="34"/>
  <c r="S77" i="34"/>
  <c r="T77" i="34"/>
  <c r="U77" i="34"/>
  <c r="V77" i="34"/>
  <c r="Q79" i="34"/>
  <c r="R79" i="34"/>
  <c r="S79" i="34"/>
  <c r="T79" i="34"/>
  <c r="U79" i="34"/>
  <c r="V79" i="34"/>
  <c r="Q88" i="34"/>
  <c r="R88" i="34"/>
  <c r="S88" i="34"/>
  <c r="T88" i="34"/>
  <c r="U88" i="34"/>
  <c r="V88" i="34"/>
  <c r="W88" i="34"/>
  <c r="Q98" i="34"/>
  <c r="R98" i="34"/>
  <c r="S98" i="34"/>
  <c r="T98" i="34"/>
  <c r="U98" i="34"/>
  <c r="V98" i="34"/>
  <c r="Q105" i="34"/>
  <c r="R105" i="34"/>
  <c r="S105" i="34"/>
  <c r="T105" i="34"/>
  <c r="U105" i="34"/>
  <c r="V105" i="34"/>
  <c r="Q111" i="34"/>
  <c r="R111" i="34"/>
  <c r="R115" i="34" s="1"/>
  <c r="S111" i="34"/>
  <c r="S115" i="34" s="1"/>
  <c r="T111" i="34"/>
  <c r="U111" i="34"/>
  <c r="V111" i="34"/>
  <c r="Q114" i="34"/>
  <c r="R114" i="34"/>
  <c r="S114" i="34"/>
  <c r="T114" i="34"/>
  <c r="U114" i="34"/>
  <c r="V114" i="34"/>
  <c r="Q81" i="34"/>
  <c r="R81" i="34"/>
  <c r="S81" i="34"/>
  <c r="T81" i="34"/>
  <c r="U81" i="34"/>
  <c r="V81" i="34"/>
  <c r="T115" i="34" l="1"/>
  <c r="Q115" i="34"/>
  <c r="U115" i="34"/>
  <c r="V115" i="34"/>
  <c r="AT114" i="34" l="1"/>
  <c r="AS114" i="34"/>
  <c r="AR114" i="34"/>
  <c r="AP114" i="34"/>
  <c r="AO114" i="34"/>
  <c r="AN114" i="34"/>
  <c r="AM114" i="34"/>
  <c r="AL114" i="34"/>
  <c r="AK114" i="34"/>
  <c r="AJ114" i="34"/>
  <c r="AI114" i="34"/>
  <c r="AH114" i="34"/>
  <c r="AF114" i="34"/>
  <c r="AE114" i="34"/>
  <c r="AD114" i="34"/>
  <c r="AB114" i="34"/>
  <c r="AA114" i="34"/>
  <c r="Z114" i="34"/>
  <c r="Y114" i="34"/>
  <c r="X114" i="34"/>
  <c r="W114" i="34"/>
  <c r="P114" i="34"/>
  <c r="O114" i="34"/>
  <c r="N114" i="34"/>
  <c r="M114" i="34"/>
  <c r="L114" i="34"/>
  <c r="K114" i="34"/>
  <c r="I114" i="34"/>
  <c r="H114" i="34"/>
  <c r="G114" i="34"/>
  <c r="F114" i="34"/>
  <c r="D114" i="34"/>
  <c r="C114" i="34"/>
  <c r="AV113" i="34"/>
  <c r="AU113" i="34"/>
  <c r="AQ113" i="34"/>
  <c r="AG113" i="34"/>
  <c r="AC113" i="34"/>
  <c r="J113" i="34"/>
  <c r="E113" i="34"/>
  <c r="AV112" i="34"/>
  <c r="AU112" i="34"/>
  <c r="AW112" i="34" s="1"/>
  <c r="AQ112" i="34"/>
  <c r="AG112" i="34"/>
  <c r="AC112" i="34"/>
  <c r="J112" i="34"/>
  <c r="E112" i="34"/>
  <c r="AT111" i="34"/>
  <c r="AS111" i="34"/>
  <c r="AR111" i="34"/>
  <c r="AP111" i="34"/>
  <c r="AO111" i="34"/>
  <c r="AN111" i="34"/>
  <c r="AM111" i="34"/>
  <c r="AL111" i="34"/>
  <c r="AK111" i="34"/>
  <c r="AJ111" i="34"/>
  <c r="AI111" i="34"/>
  <c r="AH111" i="34"/>
  <c r="AF111" i="34"/>
  <c r="AE111" i="34"/>
  <c r="AD111" i="34"/>
  <c r="AB111" i="34"/>
  <c r="AA111" i="34"/>
  <c r="Z111" i="34"/>
  <c r="Y111" i="34"/>
  <c r="X111" i="34"/>
  <c r="W111" i="34"/>
  <c r="P111" i="34"/>
  <c r="O111" i="34"/>
  <c r="N111" i="34"/>
  <c r="M111" i="34"/>
  <c r="L111" i="34"/>
  <c r="K111" i="34"/>
  <c r="I111" i="34"/>
  <c r="H111" i="34"/>
  <c r="G111" i="34"/>
  <c r="F111" i="34"/>
  <c r="D111" i="34"/>
  <c r="C111" i="34"/>
  <c r="AV110" i="34"/>
  <c r="AU110" i="34"/>
  <c r="AQ110" i="34"/>
  <c r="AG110" i="34"/>
  <c r="AC110" i="34"/>
  <c r="J110" i="34"/>
  <c r="E110" i="34"/>
  <c r="AV109" i="34"/>
  <c r="AU109" i="34"/>
  <c r="AQ109" i="34"/>
  <c r="AG109" i="34"/>
  <c r="AC109" i="34"/>
  <c r="J109" i="34"/>
  <c r="E109" i="34"/>
  <c r="AV108" i="34"/>
  <c r="AU108" i="34"/>
  <c r="AW108" i="34" s="1"/>
  <c r="AQ108" i="34"/>
  <c r="AG108" i="34"/>
  <c r="AC108" i="34"/>
  <c r="J108" i="34"/>
  <c r="E108" i="34"/>
  <c r="AV107" i="34"/>
  <c r="AU107" i="34"/>
  <c r="AQ107" i="34"/>
  <c r="AG107" i="34"/>
  <c r="AC107" i="34"/>
  <c r="J107" i="34"/>
  <c r="E107" i="34"/>
  <c r="AV106" i="34"/>
  <c r="AU106" i="34"/>
  <c r="AQ106" i="34"/>
  <c r="AG106" i="34"/>
  <c r="AC106" i="34"/>
  <c r="J106" i="34"/>
  <c r="E106" i="34"/>
  <c r="AT105" i="34"/>
  <c r="AS105" i="34"/>
  <c r="AR105" i="34"/>
  <c r="AP105" i="34"/>
  <c r="AO105" i="34"/>
  <c r="AN105" i="34"/>
  <c r="AM105" i="34"/>
  <c r="AL105" i="34"/>
  <c r="AK105" i="34"/>
  <c r="AJ105" i="34"/>
  <c r="AI105" i="34"/>
  <c r="AH105" i="34"/>
  <c r="AF105" i="34"/>
  <c r="AE105" i="34"/>
  <c r="AD105" i="34"/>
  <c r="AB105" i="34"/>
  <c r="AA105" i="34"/>
  <c r="Z105" i="34"/>
  <c r="Y105" i="34"/>
  <c r="X105" i="34"/>
  <c r="W105" i="34"/>
  <c r="P105" i="34"/>
  <c r="O105" i="34"/>
  <c r="N105" i="34"/>
  <c r="M105" i="34"/>
  <c r="L105" i="34"/>
  <c r="K105" i="34"/>
  <c r="I105" i="34"/>
  <c r="G105" i="34"/>
  <c r="F105" i="34"/>
  <c r="D105" i="34"/>
  <c r="C105" i="34"/>
  <c r="AV104" i="34"/>
  <c r="AU104" i="34"/>
  <c r="AQ104" i="34"/>
  <c r="AG104" i="34"/>
  <c r="AC104" i="34"/>
  <c r="J104" i="34"/>
  <c r="E104" i="34"/>
  <c r="AV103" i="34"/>
  <c r="AU103" i="34"/>
  <c r="AW103" i="34" s="1"/>
  <c r="AQ103" i="34"/>
  <c r="AG103" i="34"/>
  <c r="AC103" i="34"/>
  <c r="J103" i="34"/>
  <c r="E103" i="34"/>
  <c r="AV102" i="34"/>
  <c r="AU102" i="34"/>
  <c r="AQ102" i="34"/>
  <c r="AG102" i="34"/>
  <c r="AC102" i="34"/>
  <c r="J102" i="34"/>
  <c r="E102" i="34"/>
  <c r="AV101" i="34"/>
  <c r="AU101" i="34"/>
  <c r="AQ101" i="34"/>
  <c r="AG101" i="34"/>
  <c r="AC101" i="34"/>
  <c r="J101" i="34"/>
  <c r="E101" i="34"/>
  <c r="AV100" i="34"/>
  <c r="AU100" i="34"/>
  <c r="AQ100" i="34"/>
  <c r="AG100" i="34"/>
  <c r="AC100" i="34"/>
  <c r="J100" i="34"/>
  <c r="E100" i="34"/>
  <c r="AV99" i="34"/>
  <c r="AU99" i="34"/>
  <c r="AQ99" i="34"/>
  <c r="AG99" i="34"/>
  <c r="AC99" i="34"/>
  <c r="J99" i="34"/>
  <c r="E99" i="34"/>
  <c r="AT98" i="34"/>
  <c r="AS98" i="34"/>
  <c r="AR98" i="34"/>
  <c r="AP98" i="34"/>
  <c r="AO98" i="34"/>
  <c r="AN98" i="34"/>
  <c r="AM98" i="34"/>
  <c r="AL98" i="34"/>
  <c r="AK98" i="34"/>
  <c r="AJ98" i="34"/>
  <c r="AI98" i="34"/>
  <c r="AH98" i="34"/>
  <c r="AF98" i="34"/>
  <c r="AE98" i="34"/>
  <c r="AD98" i="34"/>
  <c r="AB98" i="34"/>
  <c r="AA98" i="34"/>
  <c r="Z98" i="34"/>
  <c r="Y98" i="34"/>
  <c r="X98" i="34"/>
  <c r="W98" i="34"/>
  <c r="P98" i="34"/>
  <c r="O98" i="34"/>
  <c r="N98" i="34"/>
  <c r="M98" i="34"/>
  <c r="L98" i="34"/>
  <c r="K98" i="34"/>
  <c r="I98" i="34"/>
  <c r="G98" i="34"/>
  <c r="F98" i="34"/>
  <c r="D98" i="34"/>
  <c r="C98" i="34"/>
  <c r="AV97" i="34"/>
  <c r="AU97" i="34"/>
  <c r="AQ97" i="34"/>
  <c r="AG97" i="34"/>
  <c r="AC97" i="34"/>
  <c r="J97" i="34"/>
  <c r="E97" i="34"/>
  <c r="AV96" i="34"/>
  <c r="AU96" i="34"/>
  <c r="AQ96" i="34"/>
  <c r="AG96" i="34"/>
  <c r="AC96" i="34"/>
  <c r="J96" i="34"/>
  <c r="E96" i="34"/>
  <c r="AV95" i="34"/>
  <c r="AU95" i="34"/>
  <c r="AQ95" i="34"/>
  <c r="AG95" i="34"/>
  <c r="AC95" i="34"/>
  <c r="J95" i="34"/>
  <c r="E95" i="34"/>
  <c r="AV94" i="34"/>
  <c r="AU94" i="34"/>
  <c r="AQ94" i="34"/>
  <c r="AG94" i="34"/>
  <c r="AC94" i="34"/>
  <c r="J94" i="34"/>
  <c r="E94" i="34"/>
  <c r="AV93" i="34"/>
  <c r="AU93" i="34"/>
  <c r="AQ93" i="34"/>
  <c r="AG93" i="34"/>
  <c r="AC93" i="34"/>
  <c r="J93" i="34"/>
  <c r="E93" i="34"/>
  <c r="AV92" i="34"/>
  <c r="AU92" i="34"/>
  <c r="AQ92" i="34"/>
  <c r="AG92" i="34"/>
  <c r="AC92" i="34"/>
  <c r="J92" i="34"/>
  <c r="E92" i="34"/>
  <c r="AV91" i="34"/>
  <c r="AU91" i="34"/>
  <c r="AQ91" i="34"/>
  <c r="AG91" i="34"/>
  <c r="AC91" i="34"/>
  <c r="J91" i="34"/>
  <c r="E91" i="34"/>
  <c r="AV90" i="34"/>
  <c r="AU90" i="34"/>
  <c r="AQ90" i="34"/>
  <c r="AG90" i="34"/>
  <c r="AC90" i="34"/>
  <c r="J90" i="34"/>
  <c r="E90" i="34"/>
  <c r="AV89" i="34"/>
  <c r="AU89" i="34"/>
  <c r="AQ89" i="34"/>
  <c r="AG89" i="34"/>
  <c r="AC89" i="34"/>
  <c r="J89" i="34"/>
  <c r="E89" i="34"/>
  <c r="AT88" i="34"/>
  <c r="AS88" i="34"/>
  <c r="AR88" i="34"/>
  <c r="AP88" i="34"/>
  <c r="AO88" i="34"/>
  <c r="AN88" i="34"/>
  <c r="AM88" i="34"/>
  <c r="AL88" i="34"/>
  <c r="AK88" i="34"/>
  <c r="AJ88" i="34"/>
  <c r="AI88" i="34"/>
  <c r="AH88" i="34"/>
  <c r="AF88" i="34"/>
  <c r="AE88" i="34"/>
  <c r="AD88" i="34"/>
  <c r="AB88" i="34"/>
  <c r="AA88" i="34"/>
  <c r="Z88" i="34"/>
  <c r="Y88" i="34"/>
  <c r="X88" i="34"/>
  <c r="P88" i="34"/>
  <c r="O88" i="34"/>
  <c r="N88" i="34"/>
  <c r="M88" i="34"/>
  <c r="L88" i="34"/>
  <c r="K88" i="34"/>
  <c r="I88" i="34"/>
  <c r="G88" i="34"/>
  <c r="F88" i="34"/>
  <c r="D88" i="34"/>
  <c r="C88" i="34"/>
  <c r="AV87" i="34"/>
  <c r="AU87" i="34"/>
  <c r="AQ87" i="34"/>
  <c r="AG87" i="34"/>
  <c r="AC87" i="34"/>
  <c r="J87" i="34"/>
  <c r="E87" i="34"/>
  <c r="AV86" i="34"/>
  <c r="AU86" i="34"/>
  <c r="AQ86" i="34"/>
  <c r="AG86" i="34"/>
  <c r="AC86" i="34"/>
  <c r="J86" i="34"/>
  <c r="E86" i="34"/>
  <c r="AV85" i="34"/>
  <c r="AU85" i="34"/>
  <c r="AQ85" i="34"/>
  <c r="AG85" i="34"/>
  <c r="AC85" i="34"/>
  <c r="J85" i="34"/>
  <c r="E85" i="34"/>
  <c r="AV84" i="34"/>
  <c r="AU84" i="34"/>
  <c r="AQ84" i="34"/>
  <c r="AG84" i="34"/>
  <c r="AC84" i="34"/>
  <c r="J84" i="34"/>
  <c r="E84" i="34"/>
  <c r="AV83" i="34"/>
  <c r="AU83" i="34"/>
  <c r="AQ83" i="34"/>
  <c r="AG83" i="34"/>
  <c r="AC83" i="34"/>
  <c r="J83" i="34"/>
  <c r="E83" i="34"/>
  <c r="AV82" i="34"/>
  <c r="AU82" i="34"/>
  <c r="AQ82" i="34"/>
  <c r="AG82" i="34"/>
  <c r="AC82" i="34"/>
  <c r="J82" i="34"/>
  <c r="E82" i="34"/>
  <c r="AT81" i="34"/>
  <c r="AS81" i="34"/>
  <c r="AR81" i="34"/>
  <c r="AP81" i="34"/>
  <c r="AO81" i="34"/>
  <c r="AN81" i="34"/>
  <c r="AM81" i="34"/>
  <c r="AL81" i="34"/>
  <c r="AK81" i="34"/>
  <c r="AJ81" i="34"/>
  <c r="AI81" i="34"/>
  <c r="AH81" i="34"/>
  <c r="AF81" i="34"/>
  <c r="AE81" i="34"/>
  <c r="AD81" i="34"/>
  <c r="AB81" i="34"/>
  <c r="AA81" i="34"/>
  <c r="Z81" i="34"/>
  <c r="Y81" i="34"/>
  <c r="X81" i="34"/>
  <c r="W81" i="34"/>
  <c r="P81" i="34"/>
  <c r="O81" i="34"/>
  <c r="N81" i="34"/>
  <c r="M81" i="34"/>
  <c r="L81" i="34"/>
  <c r="K81" i="34"/>
  <c r="I81" i="34"/>
  <c r="G81" i="34"/>
  <c r="F81" i="34"/>
  <c r="D81" i="34"/>
  <c r="C81" i="34"/>
  <c r="AV80" i="34"/>
  <c r="AV81" i="34" s="1"/>
  <c r="AU80" i="34"/>
  <c r="AQ80" i="34"/>
  <c r="AQ81" i="34" s="1"/>
  <c r="AG80" i="34"/>
  <c r="AG81" i="34" s="1"/>
  <c r="AC80" i="34"/>
  <c r="AC81" i="34" s="1"/>
  <c r="J80" i="34"/>
  <c r="J81" i="34" s="1"/>
  <c r="E80" i="34"/>
  <c r="E81" i="34" s="1"/>
  <c r="AT79" i="34"/>
  <c r="AS79" i="34"/>
  <c r="AR79" i="34"/>
  <c r="AP79" i="34"/>
  <c r="AO79" i="34"/>
  <c r="AN79" i="34"/>
  <c r="AM79" i="34"/>
  <c r="AL79" i="34"/>
  <c r="AK79" i="34"/>
  <c r="AJ79" i="34"/>
  <c r="AI79" i="34"/>
  <c r="AH79" i="34"/>
  <c r="AF79" i="34"/>
  <c r="AE79" i="34"/>
  <c r="AD79" i="34"/>
  <c r="AB79" i="34"/>
  <c r="AA79" i="34"/>
  <c r="Z79" i="34"/>
  <c r="Y79" i="34"/>
  <c r="X79" i="34"/>
  <c r="W79" i="34"/>
  <c r="P79" i="34"/>
  <c r="O79" i="34"/>
  <c r="N79" i="34"/>
  <c r="M79" i="34"/>
  <c r="L79" i="34"/>
  <c r="I79" i="34"/>
  <c r="G79" i="34"/>
  <c r="F79" i="34"/>
  <c r="D79" i="34"/>
  <c r="C79" i="34"/>
  <c r="AV78" i="34"/>
  <c r="AV79" i="34" s="1"/>
  <c r="AU78" i="34"/>
  <c r="AQ78" i="34"/>
  <c r="AQ79" i="34" s="1"/>
  <c r="AG78" i="34"/>
  <c r="AG79" i="34" s="1"/>
  <c r="AC78" i="34"/>
  <c r="AC79" i="34" s="1"/>
  <c r="J78" i="34"/>
  <c r="J79" i="34" s="1"/>
  <c r="E78" i="34"/>
  <c r="E79" i="34" s="1"/>
  <c r="AT77" i="34"/>
  <c r="AS77" i="34"/>
  <c r="AR77" i="34"/>
  <c r="AP77" i="34"/>
  <c r="AO77" i="34"/>
  <c r="AN77" i="34"/>
  <c r="AM77" i="34"/>
  <c r="AL77" i="34"/>
  <c r="AK77" i="34"/>
  <c r="AJ77" i="34"/>
  <c r="AI77" i="34"/>
  <c r="AH77" i="34"/>
  <c r="AF77" i="34"/>
  <c r="AE77" i="34"/>
  <c r="AD77" i="34"/>
  <c r="AB77" i="34"/>
  <c r="AA77" i="34"/>
  <c r="Z77" i="34"/>
  <c r="Y77" i="34"/>
  <c r="X77" i="34"/>
  <c r="W77" i="34"/>
  <c r="P77" i="34"/>
  <c r="O77" i="34"/>
  <c r="N77" i="34"/>
  <c r="M77" i="34"/>
  <c r="L77" i="34"/>
  <c r="K77" i="34"/>
  <c r="I77" i="34"/>
  <c r="G77" i="34"/>
  <c r="F77" i="34"/>
  <c r="D77" i="34"/>
  <c r="C77" i="34"/>
  <c r="AV76" i="34"/>
  <c r="AV77" i="34" s="1"/>
  <c r="AU76" i="34"/>
  <c r="AQ76" i="34"/>
  <c r="AQ77" i="34" s="1"/>
  <c r="AG76" i="34"/>
  <c r="AG77" i="34" s="1"/>
  <c r="AC76" i="34"/>
  <c r="AC77" i="34" s="1"/>
  <c r="J76" i="34"/>
  <c r="J77" i="34" s="1"/>
  <c r="E76" i="34"/>
  <c r="E77" i="34" s="1"/>
  <c r="AT75" i="34"/>
  <c r="AS75" i="34"/>
  <c r="AR75" i="34"/>
  <c r="AP75" i="34"/>
  <c r="AO75" i="34"/>
  <c r="AN75" i="34"/>
  <c r="AM75" i="34"/>
  <c r="AL75" i="34"/>
  <c r="AK75" i="34"/>
  <c r="AJ75" i="34"/>
  <c r="AI75" i="34"/>
  <c r="AH75" i="34"/>
  <c r="AF75" i="34"/>
  <c r="AE75" i="34"/>
  <c r="AD75" i="34"/>
  <c r="AB75" i="34"/>
  <c r="AA75" i="34"/>
  <c r="Z75" i="34"/>
  <c r="Y75" i="34"/>
  <c r="X75" i="34"/>
  <c r="W75" i="34"/>
  <c r="P75" i="34"/>
  <c r="O75" i="34"/>
  <c r="N75" i="34"/>
  <c r="M75" i="34"/>
  <c r="L75" i="34"/>
  <c r="K75" i="34"/>
  <c r="I75" i="34"/>
  <c r="H75" i="34"/>
  <c r="G75" i="34"/>
  <c r="F75" i="34"/>
  <c r="D75" i="34"/>
  <c r="C75" i="34"/>
  <c r="AV74" i="34"/>
  <c r="AU74" i="34"/>
  <c r="AQ74" i="34"/>
  <c r="AG74" i="34"/>
  <c r="AC74" i="34"/>
  <c r="J74" i="34"/>
  <c r="E74" i="34"/>
  <c r="AV73" i="34"/>
  <c r="AU73" i="34"/>
  <c r="AQ73" i="34"/>
  <c r="AG73" i="34"/>
  <c r="AC73" i="34"/>
  <c r="J73" i="34"/>
  <c r="E73" i="34"/>
  <c r="AV72" i="34"/>
  <c r="AU72" i="34"/>
  <c r="AQ72" i="34"/>
  <c r="AG72" i="34"/>
  <c r="AC72" i="34"/>
  <c r="J72" i="34"/>
  <c r="E72" i="34"/>
  <c r="AV71" i="34"/>
  <c r="AU71" i="34"/>
  <c r="AQ71" i="34"/>
  <c r="AG71" i="34"/>
  <c r="AC71" i="34"/>
  <c r="J71" i="34"/>
  <c r="E71" i="34"/>
  <c r="AV70" i="34"/>
  <c r="AU70" i="34"/>
  <c r="AQ70" i="34"/>
  <c r="AG70" i="34"/>
  <c r="AC70" i="34"/>
  <c r="J70" i="34"/>
  <c r="E70" i="34"/>
  <c r="AV69" i="34"/>
  <c r="AU69" i="34"/>
  <c r="AQ69" i="34"/>
  <c r="AG69" i="34"/>
  <c r="AC69" i="34"/>
  <c r="J69" i="34"/>
  <c r="E69" i="34"/>
  <c r="AV68" i="34"/>
  <c r="AU68" i="34"/>
  <c r="AQ68" i="34"/>
  <c r="AG68" i="34"/>
  <c r="AC68" i="34"/>
  <c r="J68" i="34"/>
  <c r="E68" i="34"/>
  <c r="AT67" i="34"/>
  <c r="AS67" i="34"/>
  <c r="AR67" i="34"/>
  <c r="AP67" i="34"/>
  <c r="AO67" i="34"/>
  <c r="AN67" i="34"/>
  <c r="AM67" i="34"/>
  <c r="AL67" i="34"/>
  <c r="AK67" i="34"/>
  <c r="AJ67" i="34"/>
  <c r="AI67" i="34"/>
  <c r="AH67" i="34"/>
  <c r="AF67" i="34"/>
  <c r="AE67" i="34"/>
  <c r="AD67" i="34"/>
  <c r="AB67" i="34"/>
  <c r="AA67" i="34"/>
  <c r="Z67" i="34"/>
  <c r="Y67" i="34"/>
  <c r="X67" i="34"/>
  <c r="W67" i="34"/>
  <c r="P67" i="34"/>
  <c r="O67" i="34"/>
  <c r="N67" i="34"/>
  <c r="M67" i="34"/>
  <c r="L67" i="34"/>
  <c r="K67" i="34"/>
  <c r="I67" i="34"/>
  <c r="H67" i="34"/>
  <c r="G67" i="34"/>
  <c r="F67" i="34"/>
  <c r="D67" i="34"/>
  <c r="C67" i="34"/>
  <c r="AV66" i="34"/>
  <c r="AU66" i="34"/>
  <c r="AQ66" i="34"/>
  <c r="AG66" i="34"/>
  <c r="AC66" i="34"/>
  <c r="J66" i="34"/>
  <c r="E66" i="34"/>
  <c r="AV65" i="34"/>
  <c r="AU65" i="34"/>
  <c r="AQ65" i="34"/>
  <c r="AG65" i="34"/>
  <c r="AC65" i="34"/>
  <c r="J65" i="34"/>
  <c r="E65" i="34"/>
  <c r="AV64" i="34"/>
  <c r="AU64" i="34"/>
  <c r="AQ64" i="34"/>
  <c r="AG64" i="34"/>
  <c r="AC64" i="34"/>
  <c r="J64" i="34"/>
  <c r="E64" i="34"/>
  <c r="AV63" i="34"/>
  <c r="AU63" i="34"/>
  <c r="AQ63" i="34"/>
  <c r="AG63" i="34"/>
  <c r="AC63" i="34"/>
  <c r="J63" i="34"/>
  <c r="E63" i="34"/>
  <c r="AV62" i="34"/>
  <c r="AU62" i="34"/>
  <c r="AQ62" i="34"/>
  <c r="AG62" i="34"/>
  <c r="AC62" i="34"/>
  <c r="J62" i="34"/>
  <c r="E62" i="34"/>
  <c r="AV61" i="34"/>
  <c r="AU61" i="34"/>
  <c r="AQ61" i="34"/>
  <c r="AG61" i="34"/>
  <c r="AC61" i="34"/>
  <c r="J61" i="34"/>
  <c r="E61" i="34"/>
  <c r="AV60" i="34"/>
  <c r="AU60" i="34"/>
  <c r="AQ60" i="34"/>
  <c r="AG60" i="34"/>
  <c r="AC60" i="34"/>
  <c r="J60" i="34"/>
  <c r="E60" i="34"/>
  <c r="AV59" i="34"/>
  <c r="AU59" i="34"/>
  <c r="AQ59" i="34"/>
  <c r="AG59" i="34"/>
  <c r="AC59" i="34"/>
  <c r="J59" i="34"/>
  <c r="E59" i="34"/>
  <c r="AT58" i="34"/>
  <c r="AS58" i="34"/>
  <c r="AR58" i="34"/>
  <c r="AP58" i="34"/>
  <c r="AO58" i="34"/>
  <c r="AN58" i="34"/>
  <c r="AM58" i="34"/>
  <c r="AL58" i="34"/>
  <c r="AK58" i="34"/>
  <c r="AJ58" i="34"/>
  <c r="AI58" i="34"/>
  <c r="AH58" i="34"/>
  <c r="AF58" i="34"/>
  <c r="AE58" i="34"/>
  <c r="AD58" i="34"/>
  <c r="AB58" i="34"/>
  <c r="AA58" i="34"/>
  <c r="Z58" i="34"/>
  <c r="Y58" i="34"/>
  <c r="X58" i="34"/>
  <c r="W58" i="34"/>
  <c r="P58" i="34"/>
  <c r="O58" i="34"/>
  <c r="N58" i="34"/>
  <c r="M58" i="34"/>
  <c r="L58" i="34"/>
  <c r="K58" i="34"/>
  <c r="I58" i="34"/>
  <c r="H58" i="34"/>
  <c r="G58" i="34"/>
  <c r="F58" i="34"/>
  <c r="D58" i="34"/>
  <c r="C58" i="34"/>
  <c r="AV57" i="34"/>
  <c r="AU57" i="34"/>
  <c r="AQ57" i="34"/>
  <c r="AG57" i="34"/>
  <c r="AC57" i="34"/>
  <c r="J57" i="34"/>
  <c r="E57" i="34"/>
  <c r="AV56" i="34"/>
  <c r="AU56" i="34"/>
  <c r="AQ56" i="34"/>
  <c r="AG56" i="34"/>
  <c r="AC56" i="34"/>
  <c r="J56" i="34"/>
  <c r="E56" i="34"/>
  <c r="AV55" i="34"/>
  <c r="AU55" i="34"/>
  <c r="AQ55" i="34"/>
  <c r="AG55" i="34"/>
  <c r="AC55" i="34"/>
  <c r="J55" i="34"/>
  <c r="E55" i="34"/>
  <c r="AV54" i="34"/>
  <c r="AU54" i="34"/>
  <c r="AQ54" i="34"/>
  <c r="AG54" i="34"/>
  <c r="AC54" i="34"/>
  <c r="J54" i="34"/>
  <c r="E54" i="34"/>
  <c r="AV53" i="34"/>
  <c r="AU53" i="34"/>
  <c r="AQ53" i="34"/>
  <c r="AG53" i="34"/>
  <c r="AC53" i="34"/>
  <c r="J53" i="34"/>
  <c r="E53" i="34"/>
  <c r="AV52" i="34"/>
  <c r="AU52" i="34"/>
  <c r="AQ52" i="34"/>
  <c r="AG52" i="34"/>
  <c r="AC52" i="34"/>
  <c r="J52" i="34"/>
  <c r="E52" i="34"/>
  <c r="AV51" i="34"/>
  <c r="AU51" i="34"/>
  <c r="AQ51" i="34"/>
  <c r="AG51" i="34"/>
  <c r="AC51" i="34"/>
  <c r="J51" i="34"/>
  <c r="E51" i="34"/>
  <c r="AV50" i="34"/>
  <c r="AU50" i="34"/>
  <c r="AQ50" i="34"/>
  <c r="AG50" i="34"/>
  <c r="AC50" i="34"/>
  <c r="J50" i="34"/>
  <c r="E50" i="34"/>
  <c r="AV49" i="34"/>
  <c r="AU49" i="34"/>
  <c r="AQ49" i="34"/>
  <c r="AG49" i="34"/>
  <c r="AC49" i="34"/>
  <c r="J49" i="34"/>
  <c r="E49" i="34"/>
  <c r="AV48" i="34"/>
  <c r="AU48" i="34"/>
  <c r="AQ48" i="34"/>
  <c r="AG48" i="34"/>
  <c r="AC48" i="34"/>
  <c r="J48" i="34"/>
  <c r="E48" i="34"/>
  <c r="AV47" i="34"/>
  <c r="AU47" i="34"/>
  <c r="AQ47" i="34"/>
  <c r="AG47" i="34"/>
  <c r="AC47" i="34"/>
  <c r="J47" i="34"/>
  <c r="E47" i="34"/>
  <c r="AV46" i="34"/>
  <c r="AU46" i="34"/>
  <c r="AQ46" i="34"/>
  <c r="AG46" i="34"/>
  <c r="AC46" i="34"/>
  <c r="J46" i="34"/>
  <c r="E46" i="34"/>
  <c r="AT45" i="34"/>
  <c r="AS45" i="34"/>
  <c r="AR45" i="34"/>
  <c r="AP45" i="34"/>
  <c r="AO45" i="34"/>
  <c r="AN45" i="34"/>
  <c r="AM45" i="34"/>
  <c r="AL45" i="34"/>
  <c r="AK45" i="34"/>
  <c r="AJ45" i="34"/>
  <c r="AI45" i="34"/>
  <c r="AH45" i="34"/>
  <c r="AF45" i="34"/>
  <c r="AE45" i="34"/>
  <c r="AD45" i="34"/>
  <c r="AB45" i="34"/>
  <c r="AA45" i="34"/>
  <c r="Z45" i="34"/>
  <c r="Y45" i="34"/>
  <c r="X45" i="34"/>
  <c r="W45" i="34"/>
  <c r="P45" i="34"/>
  <c r="O45" i="34"/>
  <c r="N45" i="34"/>
  <c r="M45" i="34"/>
  <c r="L45" i="34"/>
  <c r="K45" i="34"/>
  <c r="I45" i="34"/>
  <c r="H45" i="34"/>
  <c r="G45" i="34"/>
  <c r="F45" i="34"/>
  <c r="D45" i="34"/>
  <c r="C45" i="34"/>
  <c r="AV44" i="34"/>
  <c r="AU44" i="34"/>
  <c r="AQ44" i="34"/>
  <c r="AG44" i="34"/>
  <c r="AC44" i="34"/>
  <c r="J44" i="34"/>
  <c r="E44" i="34"/>
  <c r="AV43" i="34"/>
  <c r="AU43" i="34"/>
  <c r="AQ43" i="34"/>
  <c r="AG43" i="34"/>
  <c r="AC43" i="34"/>
  <c r="J43" i="34"/>
  <c r="E43" i="34"/>
  <c r="AV42" i="34"/>
  <c r="AU42" i="34"/>
  <c r="AQ42" i="34"/>
  <c r="AG42" i="34"/>
  <c r="AC42" i="34"/>
  <c r="J42" i="34"/>
  <c r="E42" i="34"/>
  <c r="AV41" i="34"/>
  <c r="AU41" i="34"/>
  <c r="AQ41" i="34"/>
  <c r="AG41" i="34"/>
  <c r="AC41" i="34"/>
  <c r="J41" i="34"/>
  <c r="E41" i="34"/>
  <c r="AV40" i="34"/>
  <c r="AU40" i="34"/>
  <c r="AQ40" i="34"/>
  <c r="AG40" i="34"/>
  <c r="AC40" i="34"/>
  <c r="J40" i="34"/>
  <c r="E40" i="34"/>
  <c r="AV39" i="34"/>
  <c r="AU39" i="34"/>
  <c r="AQ39" i="34"/>
  <c r="AG39" i="34"/>
  <c r="AC39" i="34"/>
  <c r="J39" i="34"/>
  <c r="E39" i="34"/>
  <c r="AV38" i="34"/>
  <c r="AU38" i="34"/>
  <c r="AQ38" i="34"/>
  <c r="AG38" i="34"/>
  <c r="AC38" i="34"/>
  <c r="J38" i="34"/>
  <c r="E38" i="34"/>
  <c r="AV37" i="34"/>
  <c r="AU37" i="34"/>
  <c r="AQ37" i="34"/>
  <c r="AG37" i="34"/>
  <c r="AC37" i="34"/>
  <c r="J37" i="34"/>
  <c r="E37" i="34"/>
  <c r="AV36" i="34"/>
  <c r="AU36" i="34"/>
  <c r="AQ36" i="34"/>
  <c r="AG36" i="34"/>
  <c r="AC36" i="34"/>
  <c r="J36" i="34"/>
  <c r="E36" i="34"/>
  <c r="AV35" i="34"/>
  <c r="AU35" i="34"/>
  <c r="AQ35" i="34"/>
  <c r="AG35" i="34"/>
  <c r="AC35" i="34"/>
  <c r="J35" i="34"/>
  <c r="E35" i="34"/>
  <c r="AV34" i="34"/>
  <c r="AU34" i="34"/>
  <c r="AQ34" i="34"/>
  <c r="AG34" i="34"/>
  <c r="AC34" i="34"/>
  <c r="J34" i="34"/>
  <c r="E34" i="34"/>
  <c r="AV33" i="34"/>
  <c r="AU33" i="34"/>
  <c r="AQ33" i="34"/>
  <c r="AG33" i="34"/>
  <c r="AC33" i="34"/>
  <c r="J33" i="34"/>
  <c r="E33" i="34"/>
  <c r="AV32" i="34"/>
  <c r="AU32" i="34"/>
  <c r="AQ32" i="34"/>
  <c r="AG32" i="34"/>
  <c r="AC32" i="34"/>
  <c r="J32" i="34"/>
  <c r="E32" i="34"/>
  <c r="AV31" i="34"/>
  <c r="AU31" i="34"/>
  <c r="AQ31" i="34"/>
  <c r="AG31" i="34"/>
  <c r="AC31" i="34"/>
  <c r="J31" i="34"/>
  <c r="E31" i="34"/>
  <c r="AV30" i="34"/>
  <c r="AU30" i="34"/>
  <c r="AQ30" i="34"/>
  <c r="AG30" i="34"/>
  <c r="AC30" i="34"/>
  <c r="J30" i="34"/>
  <c r="E30" i="34"/>
  <c r="AV29" i="34"/>
  <c r="AU29" i="34"/>
  <c r="AQ29" i="34"/>
  <c r="AG29" i="34"/>
  <c r="AC29" i="34"/>
  <c r="J29" i="34"/>
  <c r="E29" i="34"/>
  <c r="AT28" i="34"/>
  <c r="AS28" i="34"/>
  <c r="AR28" i="34"/>
  <c r="AP28" i="34"/>
  <c r="AO28" i="34"/>
  <c r="AN28" i="34"/>
  <c r="AM28" i="34"/>
  <c r="AL28" i="34"/>
  <c r="AK28" i="34"/>
  <c r="AJ28" i="34"/>
  <c r="AI28" i="34"/>
  <c r="AH28" i="34"/>
  <c r="AF28" i="34"/>
  <c r="AE28" i="34"/>
  <c r="AD28" i="34"/>
  <c r="AB28" i="34"/>
  <c r="AA28" i="34"/>
  <c r="Z28" i="34"/>
  <c r="Y28" i="34"/>
  <c r="X28" i="34"/>
  <c r="W28" i="34"/>
  <c r="P28" i="34"/>
  <c r="O28" i="34"/>
  <c r="N28" i="34"/>
  <c r="M28" i="34"/>
  <c r="L28" i="34"/>
  <c r="K28" i="34"/>
  <c r="I28" i="34"/>
  <c r="H28" i="34"/>
  <c r="G28" i="34"/>
  <c r="F28" i="34"/>
  <c r="D28" i="34"/>
  <c r="C28" i="34"/>
  <c r="AV27" i="34"/>
  <c r="AU27" i="34"/>
  <c r="AQ27" i="34"/>
  <c r="AG27" i="34"/>
  <c r="AC27" i="34"/>
  <c r="J27" i="34"/>
  <c r="E27" i="34"/>
  <c r="AV26" i="34"/>
  <c r="AU26" i="34"/>
  <c r="AQ26" i="34"/>
  <c r="AG26" i="34"/>
  <c r="AC26" i="34"/>
  <c r="J26" i="34"/>
  <c r="E26" i="34"/>
  <c r="AV25" i="34"/>
  <c r="AU25" i="34"/>
  <c r="AQ25" i="34"/>
  <c r="AG25" i="34"/>
  <c r="AC25" i="34"/>
  <c r="J25" i="34"/>
  <c r="E25" i="34"/>
  <c r="AV24" i="34"/>
  <c r="AU24" i="34"/>
  <c r="AQ24" i="34"/>
  <c r="AG24" i="34"/>
  <c r="AC24" i="34"/>
  <c r="J24" i="34"/>
  <c r="E24" i="34"/>
  <c r="AT23" i="34"/>
  <c r="AS23" i="34"/>
  <c r="AR23" i="34"/>
  <c r="AP23" i="34"/>
  <c r="AO23" i="34"/>
  <c r="AN23" i="34"/>
  <c r="AM23" i="34"/>
  <c r="AL23" i="34"/>
  <c r="AK23" i="34"/>
  <c r="AJ23" i="34"/>
  <c r="AI23" i="34"/>
  <c r="AH23" i="34"/>
  <c r="AF23" i="34"/>
  <c r="AE23" i="34"/>
  <c r="AD23" i="34"/>
  <c r="AB23" i="34"/>
  <c r="AA23" i="34"/>
  <c r="Z23" i="34"/>
  <c r="Y23" i="34"/>
  <c r="X23" i="34"/>
  <c r="W23" i="34"/>
  <c r="P23" i="34"/>
  <c r="O23" i="34"/>
  <c r="N23" i="34"/>
  <c r="M23" i="34"/>
  <c r="L23" i="34"/>
  <c r="K23" i="34"/>
  <c r="I23" i="34"/>
  <c r="H23" i="34"/>
  <c r="G23" i="34"/>
  <c r="F23" i="34"/>
  <c r="D23" i="34"/>
  <c r="C23" i="34"/>
  <c r="AV22" i="34"/>
  <c r="AU22" i="34"/>
  <c r="AQ22" i="34"/>
  <c r="AG22" i="34"/>
  <c r="AC22" i="34"/>
  <c r="J22" i="34"/>
  <c r="E22" i="34"/>
  <c r="AV21" i="34"/>
  <c r="AU21" i="34"/>
  <c r="AQ21" i="34"/>
  <c r="AG21" i="34"/>
  <c r="AC21" i="34"/>
  <c r="J21" i="34"/>
  <c r="E21" i="34"/>
  <c r="AV20" i="34"/>
  <c r="AU20" i="34"/>
  <c r="AQ20" i="34"/>
  <c r="AG20" i="34"/>
  <c r="AC20" i="34"/>
  <c r="J20" i="34"/>
  <c r="E20" i="34"/>
  <c r="AV19" i="34"/>
  <c r="AU19" i="34"/>
  <c r="AQ19" i="34"/>
  <c r="AG19" i="34"/>
  <c r="AC19" i="34"/>
  <c r="J19" i="34"/>
  <c r="E19" i="34"/>
  <c r="AV18" i="34"/>
  <c r="AU18" i="34"/>
  <c r="AQ18" i="34"/>
  <c r="AG18" i="34"/>
  <c r="AC18" i="34"/>
  <c r="J18" i="34"/>
  <c r="E18" i="34"/>
  <c r="AV17" i="34"/>
  <c r="AU17" i="34"/>
  <c r="AQ17" i="34"/>
  <c r="AG17" i="34"/>
  <c r="AC17" i="34"/>
  <c r="J17" i="34"/>
  <c r="E17" i="34"/>
  <c r="AV16" i="34"/>
  <c r="AU16" i="34"/>
  <c r="AQ16" i="34"/>
  <c r="AG16" i="34"/>
  <c r="AC16" i="34"/>
  <c r="J16" i="34"/>
  <c r="E16" i="34"/>
  <c r="AV15" i="34"/>
  <c r="AU15" i="34"/>
  <c r="AQ15" i="34"/>
  <c r="AG15" i="34"/>
  <c r="AC15" i="34"/>
  <c r="J15" i="34"/>
  <c r="E15" i="34"/>
  <c r="AV14" i="34"/>
  <c r="AU14" i="34"/>
  <c r="AQ14" i="34"/>
  <c r="AG14" i="34"/>
  <c r="AC14" i="34"/>
  <c r="J14" i="34"/>
  <c r="E14" i="34"/>
  <c r="AT13" i="34"/>
  <c r="AS13" i="34"/>
  <c r="AR13" i="34"/>
  <c r="AP13" i="34"/>
  <c r="AO13" i="34"/>
  <c r="AN13" i="34"/>
  <c r="AM13" i="34"/>
  <c r="AL13" i="34"/>
  <c r="AK13" i="34"/>
  <c r="AJ13" i="34"/>
  <c r="AI13" i="34"/>
  <c r="AH13" i="34"/>
  <c r="AF13" i="34"/>
  <c r="AE13" i="34"/>
  <c r="AD13" i="34"/>
  <c r="AB13" i="34"/>
  <c r="AA13" i="34"/>
  <c r="Z13" i="34"/>
  <c r="Y13" i="34"/>
  <c r="X13" i="34"/>
  <c r="W13" i="34"/>
  <c r="P13" i="34"/>
  <c r="O13" i="34"/>
  <c r="N13" i="34"/>
  <c r="M13" i="34"/>
  <c r="L13" i="34"/>
  <c r="K13" i="34"/>
  <c r="I13" i="34"/>
  <c r="H13" i="34"/>
  <c r="G13" i="34"/>
  <c r="F13" i="34"/>
  <c r="D13" i="34"/>
  <c r="C13" i="34"/>
  <c r="AV12" i="34"/>
  <c r="AU12" i="34"/>
  <c r="AQ12" i="34"/>
  <c r="AG12" i="34"/>
  <c r="AC12" i="34"/>
  <c r="J12" i="34"/>
  <c r="E12" i="34"/>
  <c r="AV11" i="34"/>
  <c r="AU11" i="34"/>
  <c r="AQ11" i="34"/>
  <c r="AG11" i="34"/>
  <c r="AC11" i="34"/>
  <c r="J11" i="34"/>
  <c r="E11" i="34"/>
  <c r="AV10" i="34"/>
  <c r="AU10" i="34"/>
  <c r="AQ10" i="34"/>
  <c r="AG10" i="34"/>
  <c r="AC10" i="34"/>
  <c r="J10" i="34"/>
  <c r="E10" i="34"/>
  <c r="AV9" i="34"/>
  <c r="AU9" i="34"/>
  <c r="AQ9" i="34"/>
  <c r="AG9" i="34"/>
  <c r="AC9" i="34"/>
  <c r="J9" i="34"/>
  <c r="E9" i="34"/>
  <c r="AV8" i="34"/>
  <c r="AU8" i="34"/>
  <c r="AQ8" i="34"/>
  <c r="AG8" i="34"/>
  <c r="AC8" i="34"/>
  <c r="J8" i="34"/>
  <c r="E8" i="34"/>
  <c r="AT7" i="34"/>
  <c r="AS7" i="34"/>
  <c r="AR7" i="34"/>
  <c r="AP7" i="34"/>
  <c r="AO7" i="34"/>
  <c r="AN7" i="34"/>
  <c r="AM7" i="34"/>
  <c r="AL7" i="34"/>
  <c r="AK7" i="34"/>
  <c r="AJ7" i="34"/>
  <c r="AI7" i="34"/>
  <c r="AH7" i="34"/>
  <c r="AF7" i="34"/>
  <c r="AE7" i="34"/>
  <c r="AD7" i="34"/>
  <c r="AB7" i="34"/>
  <c r="AA7" i="34"/>
  <c r="Z7" i="34"/>
  <c r="Y7" i="34"/>
  <c r="X7" i="34"/>
  <c r="W7" i="34"/>
  <c r="P7" i="34"/>
  <c r="O7" i="34"/>
  <c r="N7" i="34"/>
  <c r="M7" i="34"/>
  <c r="L7" i="34"/>
  <c r="K7" i="34"/>
  <c r="I7" i="34"/>
  <c r="H7" i="34"/>
  <c r="G7" i="34"/>
  <c r="F7" i="34"/>
  <c r="D7" i="34"/>
  <c r="C7" i="34"/>
  <c r="AV6" i="34"/>
  <c r="AV7" i="34" s="1"/>
  <c r="AU6" i="34"/>
  <c r="AU7" i="34" s="1"/>
  <c r="AQ6" i="34"/>
  <c r="AQ7" i="34" s="1"/>
  <c r="AG6" i="34"/>
  <c r="AG7" i="34" s="1"/>
  <c r="AC6" i="34"/>
  <c r="AC7" i="34" s="1"/>
  <c r="J6" i="34"/>
  <c r="J7" i="34" s="1"/>
  <c r="E6" i="34"/>
  <c r="E7" i="34" s="1"/>
  <c r="AW95" i="34" l="1"/>
  <c r="AW100" i="34"/>
  <c r="AW97" i="34"/>
  <c r="AW102" i="34"/>
  <c r="AW107" i="34"/>
  <c r="AW22" i="34"/>
  <c r="AW52" i="34"/>
  <c r="AW72" i="34"/>
  <c r="AW84" i="34"/>
  <c r="AW63" i="34"/>
  <c r="AW73" i="34"/>
  <c r="AW10" i="34"/>
  <c r="AW40" i="34"/>
  <c r="AW60" i="34"/>
  <c r="AW70" i="34"/>
  <c r="AW44" i="34"/>
  <c r="AW54" i="34"/>
  <c r="AW64" i="34"/>
  <c r="AW74" i="34"/>
  <c r="AW78" i="34"/>
  <c r="AW79" i="34" s="1"/>
  <c r="AW9" i="34"/>
  <c r="AW94" i="34"/>
  <c r="AW99" i="34"/>
  <c r="AW11" i="34"/>
  <c r="AW21" i="34"/>
  <c r="AW41" i="34"/>
  <c r="AW51" i="34"/>
  <c r="AW61" i="34"/>
  <c r="AW71" i="34"/>
  <c r="AW96" i="34"/>
  <c r="AW101" i="34"/>
  <c r="AQ114" i="34"/>
  <c r="AW18" i="34"/>
  <c r="AW38" i="34"/>
  <c r="AW48" i="34"/>
  <c r="AW68" i="34"/>
  <c r="AW86" i="34"/>
  <c r="AW87" i="34"/>
  <c r="AW25" i="34"/>
  <c r="AW35" i="34"/>
  <c r="AW57" i="34"/>
  <c r="AW83" i="34"/>
  <c r="AW110" i="34"/>
  <c r="AW27" i="34"/>
  <c r="AW37" i="34"/>
  <c r="AW47" i="34"/>
  <c r="AW80" i="34"/>
  <c r="AW81" i="34" s="1"/>
  <c r="AW85" i="34"/>
  <c r="AW34" i="34"/>
  <c r="AW56" i="34"/>
  <c r="AW66" i="34"/>
  <c r="E67" i="34"/>
  <c r="AW32" i="34"/>
  <c r="AW90" i="34"/>
  <c r="AW16" i="34"/>
  <c r="AW26" i="34"/>
  <c r="AW36" i="34"/>
  <c r="AW46" i="34"/>
  <c r="AW76" i="34"/>
  <c r="AW77" i="34" s="1"/>
  <c r="AE115" i="34"/>
  <c r="AW12" i="34"/>
  <c r="J45" i="34"/>
  <c r="E58" i="34"/>
  <c r="F115" i="34"/>
  <c r="AV111" i="34"/>
  <c r="AG28" i="34"/>
  <c r="J58" i="34"/>
  <c r="AC23" i="34"/>
  <c r="AW19" i="34"/>
  <c r="AQ28" i="34"/>
  <c r="AW39" i="34"/>
  <c r="AW49" i="34"/>
  <c r="AU67" i="34"/>
  <c r="E75" i="34"/>
  <c r="AW69" i="34"/>
  <c r="AQ88" i="34"/>
  <c r="AW93" i="34"/>
  <c r="J111" i="34"/>
  <c r="E114" i="34"/>
  <c r="AW113" i="34"/>
  <c r="AW114" i="34" s="1"/>
  <c r="J23" i="34"/>
  <c r="AW31" i="34"/>
  <c r="AW43" i="34"/>
  <c r="AQ75" i="34"/>
  <c r="X115" i="34"/>
  <c r="AC13" i="34"/>
  <c r="J114" i="34"/>
  <c r="AG13" i="34"/>
  <c r="AV88" i="34"/>
  <c r="E105" i="34"/>
  <c r="AC114" i="34"/>
  <c r="AW92" i="34"/>
  <c r="E13" i="34"/>
  <c r="AU79" i="34"/>
  <c r="AW82" i="34"/>
  <c r="AW104" i="34"/>
  <c r="AC45" i="34"/>
  <c r="AV58" i="34"/>
  <c r="E88" i="34"/>
  <c r="AF115" i="34"/>
  <c r="J88" i="34"/>
  <c r="AG98" i="34"/>
  <c r="AI115" i="34"/>
  <c r="AU45" i="34"/>
  <c r="AG67" i="34"/>
  <c r="AV105" i="34"/>
  <c r="D115" i="34"/>
  <c r="AV67" i="34"/>
  <c r="J98" i="34"/>
  <c r="AQ105" i="34"/>
  <c r="AM115" i="34"/>
  <c r="AQ23" i="34"/>
  <c r="O115" i="34"/>
  <c r="AC111" i="34"/>
  <c r="E98" i="34"/>
  <c r="W115" i="34"/>
  <c r="AG105" i="34"/>
  <c r="E111" i="34"/>
  <c r="AL115" i="34"/>
  <c r="E23" i="34"/>
  <c r="AW15" i="34"/>
  <c r="AW20" i="34"/>
  <c r="AW33" i="34"/>
  <c r="AW53" i="34"/>
  <c r="AC98" i="34"/>
  <c r="AW109" i="34"/>
  <c r="Z115" i="34"/>
  <c r="AV114" i="34"/>
  <c r="N115" i="34"/>
  <c r="AQ13" i="34"/>
  <c r="AC58" i="34"/>
  <c r="AH115" i="34"/>
  <c r="AV13" i="34"/>
  <c r="AW62" i="34"/>
  <c r="AJ115" i="34"/>
  <c r="Y115" i="34"/>
  <c r="E28" i="34"/>
  <c r="J67" i="34"/>
  <c r="J75" i="34"/>
  <c r="AW89" i="34"/>
  <c r="AG111" i="34"/>
  <c r="H115" i="34"/>
  <c r="AA115" i="34"/>
  <c r="AG45" i="34"/>
  <c r="AV28" i="34"/>
  <c r="P115" i="34"/>
  <c r="AV75" i="34"/>
  <c r="C115" i="34"/>
  <c r="AQ67" i="34"/>
  <c r="AG114" i="34"/>
  <c r="AG23" i="34"/>
  <c r="G115" i="34"/>
  <c r="J28" i="34"/>
  <c r="AG58" i="34"/>
  <c r="AW50" i="34"/>
  <c r="AC67" i="34"/>
  <c r="AC75" i="34"/>
  <c r="AV98" i="34"/>
  <c r="AQ98" i="34"/>
  <c r="I115" i="34"/>
  <c r="K115" i="34"/>
  <c r="M115" i="34"/>
  <c r="AU23" i="34"/>
  <c r="AW65" i="34"/>
  <c r="AT115" i="34"/>
  <c r="AV23" i="34"/>
  <c r="AU28" i="34"/>
  <c r="AS115" i="34"/>
  <c r="AU13" i="34"/>
  <c r="AQ45" i="34"/>
  <c r="AK115" i="34"/>
  <c r="AC88" i="34"/>
  <c r="AQ58" i="34"/>
  <c r="J105" i="34"/>
  <c r="AV45" i="34"/>
  <c r="AC105" i="34"/>
  <c r="AQ111" i="34"/>
  <c r="J13" i="34"/>
  <c r="AW17" i="34"/>
  <c r="AC28" i="34"/>
  <c r="E45" i="34"/>
  <c r="AW30" i="34"/>
  <c r="AW42" i="34"/>
  <c r="AW55" i="34"/>
  <c r="AG75" i="34"/>
  <c r="AU77" i="34"/>
  <c r="AU81" i="34"/>
  <c r="AG88" i="34"/>
  <c r="AW91" i="34"/>
  <c r="AW106" i="34"/>
  <c r="L115" i="34"/>
  <c r="AD115" i="34"/>
  <c r="AR115" i="34"/>
  <c r="AW14" i="34"/>
  <c r="AW59" i="34"/>
  <c r="AU114" i="34"/>
  <c r="AW6" i="34"/>
  <c r="AW7" i="34" s="1"/>
  <c r="AU58" i="34"/>
  <c r="AW8" i="34"/>
  <c r="AW29" i="34"/>
  <c r="AU75" i="34"/>
  <c r="AW24" i="34"/>
  <c r="AU98" i="34"/>
  <c r="AU105" i="34"/>
  <c r="AU88" i="34"/>
  <c r="AU111" i="34"/>
  <c r="AW75" i="34" l="1"/>
  <c r="AW105" i="34"/>
  <c r="AW28" i="34"/>
  <c r="AW111" i="34"/>
  <c r="AW88" i="34"/>
  <c r="AW13" i="34"/>
  <c r="E115" i="34"/>
  <c r="AW23" i="34"/>
  <c r="AW58" i="34"/>
  <c r="AW98" i="34"/>
  <c r="AV115" i="34"/>
  <c r="AQ115" i="34"/>
  <c r="J115" i="34"/>
  <c r="AC115" i="34"/>
  <c r="AG115" i="34"/>
  <c r="AW45" i="34"/>
  <c r="AW67" i="34"/>
  <c r="AU115" i="34"/>
  <c r="AW115" i="34" l="1"/>
  <c r="AT116" i="34" l="1"/>
  <c r="S116" i="34"/>
  <c r="Q116" i="34"/>
  <c r="R116" i="34"/>
  <c r="T116" i="34"/>
  <c r="V116" i="34"/>
  <c r="U116" i="34"/>
  <c r="AE116" i="34"/>
  <c r="F116" i="34"/>
  <c r="AW116" i="34"/>
  <c r="AM116" i="34"/>
  <c r="J116" i="34"/>
  <c r="M116" i="34"/>
  <c r="AP116" i="34"/>
  <c r="N116" i="34"/>
  <c r="AH116" i="34"/>
  <c r="AR116" i="34"/>
  <c r="AG116" i="34"/>
  <c r="AK116" i="34"/>
  <c r="AQ116" i="34"/>
  <c r="AD116" i="34"/>
  <c r="AO116" i="34"/>
  <c r="AI116" i="34"/>
  <c r="Y116" i="34"/>
  <c r="X116" i="34"/>
  <c r="W116" i="34"/>
  <c r="AL116" i="34"/>
  <c r="K116" i="34"/>
  <c r="L116" i="34"/>
  <c r="G116" i="34"/>
  <c r="AF116" i="34"/>
  <c r="AC116" i="34"/>
  <c r="AU116" i="34"/>
  <c r="H116" i="34"/>
  <c r="AS116" i="34"/>
  <c r="I116" i="34"/>
  <c r="AV116" i="34"/>
  <c r="AB116" i="34"/>
  <c r="P116" i="34"/>
  <c r="O116" i="34"/>
  <c r="AN116" i="34"/>
  <c r="AA116" i="34"/>
  <c r="AJ116" i="34"/>
  <c r="Z116" i="34"/>
  <c r="AL92" i="23" l="1"/>
  <c r="AK92" i="23"/>
  <c r="AJ92" i="23"/>
  <c r="AH92" i="23"/>
  <c r="AG92" i="23"/>
  <c r="AF92" i="23"/>
  <c r="AE92" i="23"/>
  <c r="AD92" i="23"/>
  <c r="AC92" i="23"/>
  <c r="AB92" i="23"/>
  <c r="AA92" i="23"/>
  <c r="Z92" i="23"/>
  <c r="X92" i="23"/>
  <c r="W92" i="23"/>
  <c r="U92" i="23"/>
  <c r="T92" i="23"/>
  <c r="S92" i="23"/>
  <c r="R92" i="23"/>
  <c r="Q92" i="23"/>
  <c r="P92" i="23"/>
  <c r="O92" i="23"/>
  <c r="N92" i="23"/>
  <c r="M92" i="23"/>
  <c r="K92" i="23"/>
  <c r="J92" i="23"/>
  <c r="I92" i="23"/>
  <c r="H92" i="23"/>
  <c r="G92" i="23"/>
  <c r="F92" i="23"/>
  <c r="D92" i="23"/>
  <c r="C92" i="23"/>
  <c r="AN91" i="23"/>
  <c r="AM91" i="23"/>
  <c r="AI91" i="23"/>
  <c r="Y91" i="23"/>
  <c r="V91" i="23"/>
  <c r="L91" i="23"/>
  <c r="E91" i="23"/>
  <c r="AN90" i="23"/>
  <c r="AM90" i="23"/>
  <c r="AI90" i="23"/>
  <c r="Y90" i="23"/>
  <c r="V90" i="23"/>
  <c r="L90" i="23"/>
  <c r="L92" i="23" s="1"/>
  <c r="E90" i="23"/>
  <c r="AL89" i="23"/>
  <c r="AK89" i="23"/>
  <c r="AJ89" i="23"/>
  <c r="AH89" i="23"/>
  <c r="AG89" i="23"/>
  <c r="AF89" i="23"/>
  <c r="AE89" i="23"/>
  <c r="AD89" i="23"/>
  <c r="AC89" i="23"/>
  <c r="AB89" i="23"/>
  <c r="AA89" i="23"/>
  <c r="Z89" i="23"/>
  <c r="X89" i="23"/>
  <c r="W89" i="23"/>
  <c r="U89" i="23"/>
  <c r="T89" i="23"/>
  <c r="S89" i="23"/>
  <c r="R89" i="23"/>
  <c r="Q89" i="23"/>
  <c r="P89" i="23"/>
  <c r="O89" i="23"/>
  <c r="N89" i="23"/>
  <c r="M89" i="23"/>
  <c r="K89" i="23"/>
  <c r="J89" i="23"/>
  <c r="I89" i="23"/>
  <c r="H89" i="23"/>
  <c r="G89" i="23"/>
  <c r="F89" i="23"/>
  <c r="D89" i="23"/>
  <c r="C89" i="23"/>
  <c r="AN88" i="23"/>
  <c r="AM88" i="23"/>
  <c r="AI88" i="23"/>
  <c r="Y88" i="23"/>
  <c r="V88" i="23"/>
  <c r="L88" i="23"/>
  <c r="E88" i="23"/>
  <c r="AN87" i="23"/>
  <c r="AM87" i="23"/>
  <c r="AI87" i="23"/>
  <c r="Y87" i="23"/>
  <c r="V87" i="23"/>
  <c r="L87" i="23"/>
  <c r="E87" i="23"/>
  <c r="AN86" i="23"/>
  <c r="AM86" i="23"/>
  <c r="AO86" i="23" s="1"/>
  <c r="AI86" i="23"/>
  <c r="Y86" i="23"/>
  <c r="V86" i="23"/>
  <c r="L86" i="23"/>
  <c r="E86" i="23"/>
  <c r="AN85" i="23"/>
  <c r="AM85" i="23"/>
  <c r="AO85" i="23" s="1"/>
  <c r="AI85" i="23"/>
  <c r="Y85" i="23"/>
  <c r="V85" i="23"/>
  <c r="L85" i="23"/>
  <c r="E85" i="23"/>
  <c r="AN84" i="23"/>
  <c r="AM84" i="23"/>
  <c r="AI84" i="23"/>
  <c r="Y84" i="23"/>
  <c r="Y89" i="23" s="1"/>
  <c r="V84" i="23"/>
  <c r="L84" i="23"/>
  <c r="E84" i="23"/>
  <c r="AL83" i="23"/>
  <c r="AK83" i="23"/>
  <c r="AJ83" i="23"/>
  <c r="AH83" i="23"/>
  <c r="AG83" i="23"/>
  <c r="AF83" i="23"/>
  <c r="AE83" i="23"/>
  <c r="AD83" i="23"/>
  <c r="AC83" i="23"/>
  <c r="AB83" i="23"/>
  <c r="AA83" i="23"/>
  <c r="Z83" i="23"/>
  <c r="X83" i="23"/>
  <c r="W83" i="23"/>
  <c r="U83" i="23"/>
  <c r="T83" i="23"/>
  <c r="S83" i="23"/>
  <c r="R83" i="23"/>
  <c r="Q83" i="23"/>
  <c r="P83" i="23"/>
  <c r="O83" i="23"/>
  <c r="N83" i="23"/>
  <c r="M83" i="23"/>
  <c r="K83" i="23"/>
  <c r="J83" i="23"/>
  <c r="I83" i="23"/>
  <c r="H83" i="23"/>
  <c r="G83" i="23"/>
  <c r="F83" i="23"/>
  <c r="D83" i="23"/>
  <c r="C83" i="23"/>
  <c r="AN82" i="23"/>
  <c r="AM82" i="23"/>
  <c r="AI82" i="23"/>
  <c r="Y82" i="23"/>
  <c r="V82" i="23"/>
  <c r="L82" i="23"/>
  <c r="E82" i="23"/>
  <c r="AN81" i="23"/>
  <c r="AM81" i="23"/>
  <c r="AI81" i="23"/>
  <c r="Y81" i="23"/>
  <c r="V81" i="23"/>
  <c r="L81" i="23"/>
  <c r="E81" i="23"/>
  <c r="AN80" i="23"/>
  <c r="AM80" i="23"/>
  <c r="AO80" i="23" s="1"/>
  <c r="AI80" i="23"/>
  <c r="Y80" i="23"/>
  <c r="V80" i="23"/>
  <c r="L80" i="23"/>
  <c r="E80" i="23"/>
  <c r="AN79" i="23"/>
  <c r="AM79" i="23"/>
  <c r="AO79" i="23" s="1"/>
  <c r="AI79" i="23"/>
  <c r="Y79" i="23"/>
  <c r="V79" i="23"/>
  <c r="L79" i="23"/>
  <c r="E79" i="23"/>
  <c r="AN78" i="23"/>
  <c r="AM78" i="23"/>
  <c r="AI78" i="23"/>
  <c r="Y78" i="23"/>
  <c r="V78" i="23"/>
  <c r="L78" i="23"/>
  <c r="E78" i="23"/>
  <c r="AL77" i="23"/>
  <c r="AK77" i="23"/>
  <c r="AJ77" i="23"/>
  <c r="AH77" i="23"/>
  <c r="AG77" i="23"/>
  <c r="AF77" i="23"/>
  <c r="AE77" i="23"/>
  <c r="AD77" i="23"/>
  <c r="AC77" i="23"/>
  <c r="AB77" i="23"/>
  <c r="AA77" i="23"/>
  <c r="Z77" i="23"/>
  <c r="X77" i="23"/>
  <c r="W77" i="23"/>
  <c r="U77" i="23"/>
  <c r="T77" i="23"/>
  <c r="S77" i="23"/>
  <c r="R77" i="23"/>
  <c r="Q77" i="23"/>
  <c r="P77" i="23"/>
  <c r="O77" i="23"/>
  <c r="N77" i="23"/>
  <c r="M77" i="23"/>
  <c r="K77" i="23"/>
  <c r="J77" i="23"/>
  <c r="I77" i="23"/>
  <c r="H77" i="23"/>
  <c r="G77" i="23"/>
  <c r="F77" i="23"/>
  <c r="D77" i="23"/>
  <c r="C77" i="23"/>
  <c r="AN76" i="23"/>
  <c r="AN77" i="23" s="1"/>
  <c r="AM76" i="23"/>
  <c r="AM77" i="23" s="1"/>
  <c r="AI76" i="23"/>
  <c r="AI77" i="23" s="1"/>
  <c r="Y76" i="23"/>
  <c r="Y77" i="23" s="1"/>
  <c r="V76" i="23"/>
  <c r="V77" i="23" s="1"/>
  <c r="L76" i="23"/>
  <c r="L77" i="23" s="1"/>
  <c r="E76" i="23"/>
  <c r="E77" i="23" s="1"/>
  <c r="AL75" i="23"/>
  <c r="AK75" i="23"/>
  <c r="AJ75" i="23"/>
  <c r="AH75" i="23"/>
  <c r="AG75" i="23"/>
  <c r="AF75" i="23"/>
  <c r="AE75" i="23"/>
  <c r="AD75" i="23"/>
  <c r="AC75" i="23"/>
  <c r="AB75" i="23"/>
  <c r="AA75" i="23"/>
  <c r="Z75" i="23"/>
  <c r="X75" i="23"/>
  <c r="W75" i="23"/>
  <c r="U75" i="23"/>
  <c r="T75" i="23"/>
  <c r="S75" i="23"/>
  <c r="R75" i="23"/>
  <c r="Q75" i="23"/>
  <c r="P75" i="23"/>
  <c r="O75" i="23"/>
  <c r="N75" i="23"/>
  <c r="M75" i="23"/>
  <c r="K75" i="23"/>
  <c r="J75" i="23"/>
  <c r="I75" i="23"/>
  <c r="H75" i="23"/>
  <c r="G75" i="23"/>
  <c r="F75" i="23"/>
  <c r="D75" i="23"/>
  <c r="C75" i="23"/>
  <c r="AN74" i="23"/>
  <c r="AM74" i="23"/>
  <c r="AI74" i="23"/>
  <c r="Y74" i="23"/>
  <c r="V74" i="23"/>
  <c r="L74" i="23"/>
  <c r="E74" i="23"/>
  <c r="AN73" i="23"/>
  <c r="AM73" i="23"/>
  <c r="AO73" i="23" s="1"/>
  <c r="AI73" i="23"/>
  <c r="Y73" i="23"/>
  <c r="V73" i="23"/>
  <c r="L73" i="23"/>
  <c r="E73" i="23"/>
  <c r="AN72" i="23"/>
  <c r="AM72" i="23"/>
  <c r="AO72" i="23" s="1"/>
  <c r="AI72" i="23"/>
  <c r="Y72" i="23"/>
  <c r="V72" i="23"/>
  <c r="L72" i="23"/>
  <c r="E72" i="23"/>
  <c r="AN71" i="23"/>
  <c r="AM71" i="23"/>
  <c r="AI71" i="23"/>
  <c r="Y71" i="23"/>
  <c r="V71" i="23"/>
  <c r="L71" i="23"/>
  <c r="E71" i="23"/>
  <c r="AL70" i="23"/>
  <c r="AK70" i="23"/>
  <c r="AJ70" i="23"/>
  <c r="AH70" i="23"/>
  <c r="AG70" i="23"/>
  <c r="AF70" i="23"/>
  <c r="AE70" i="23"/>
  <c r="AD70" i="23"/>
  <c r="AC70" i="23"/>
  <c r="AB70" i="23"/>
  <c r="AA70" i="23"/>
  <c r="Z70" i="23"/>
  <c r="X70" i="23"/>
  <c r="W70" i="23"/>
  <c r="U70" i="23"/>
  <c r="T70" i="23"/>
  <c r="S70" i="23"/>
  <c r="R70" i="23"/>
  <c r="Q70" i="23"/>
  <c r="P70" i="23"/>
  <c r="O70" i="23"/>
  <c r="N70" i="23"/>
  <c r="M70" i="23"/>
  <c r="K70" i="23"/>
  <c r="J70" i="23"/>
  <c r="I70" i="23"/>
  <c r="H70" i="23"/>
  <c r="G70" i="23"/>
  <c r="F70" i="23"/>
  <c r="D70" i="23"/>
  <c r="C70" i="23"/>
  <c r="AN69" i="23"/>
  <c r="AN70" i="23" s="1"/>
  <c r="AM69" i="23"/>
  <c r="AI69" i="23"/>
  <c r="AI70" i="23" s="1"/>
  <c r="Y69" i="23"/>
  <c r="Y70" i="23" s="1"/>
  <c r="V69" i="23"/>
  <c r="V70" i="23" s="1"/>
  <c r="L69" i="23"/>
  <c r="L70" i="23" s="1"/>
  <c r="E69" i="23"/>
  <c r="E70" i="23" s="1"/>
  <c r="AL68" i="23"/>
  <c r="AK68" i="23"/>
  <c r="AJ68" i="23"/>
  <c r="AH68" i="23"/>
  <c r="AG68" i="23"/>
  <c r="AF68" i="23"/>
  <c r="AE68" i="23"/>
  <c r="AD68" i="23"/>
  <c r="AC68" i="23"/>
  <c r="AB68" i="23"/>
  <c r="AA68" i="23"/>
  <c r="Z68" i="23"/>
  <c r="X68" i="23"/>
  <c r="W68" i="23"/>
  <c r="U68" i="23"/>
  <c r="T68" i="23"/>
  <c r="S68" i="23"/>
  <c r="R68" i="23"/>
  <c r="Q68" i="23"/>
  <c r="P68" i="23"/>
  <c r="O68" i="23"/>
  <c r="N68" i="23"/>
  <c r="M68" i="23"/>
  <c r="K68" i="23"/>
  <c r="J68" i="23"/>
  <c r="I68" i="23"/>
  <c r="H68" i="23"/>
  <c r="G68" i="23"/>
  <c r="F68" i="23"/>
  <c r="D68" i="23"/>
  <c r="C68" i="23"/>
  <c r="AN67" i="23"/>
  <c r="AN68" i="23" s="1"/>
  <c r="AM67" i="23"/>
  <c r="AM68" i="23" s="1"/>
  <c r="AI67" i="23"/>
  <c r="AI68" i="23" s="1"/>
  <c r="Y67" i="23"/>
  <c r="Y68" i="23" s="1"/>
  <c r="V67" i="23"/>
  <c r="V68" i="23" s="1"/>
  <c r="L67" i="23"/>
  <c r="L68" i="23" s="1"/>
  <c r="E67" i="23"/>
  <c r="E68" i="23" s="1"/>
  <c r="AL66" i="23"/>
  <c r="AK66" i="23"/>
  <c r="AJ66" i="23"/>
  <c r="AH66" i="23"/>
  <c r="AG66" i="23"/>
  <c r="AF66" i="23"/>
  <c r="AE66" i="23"/>
  <c r="AD66" i="23"/>
  <c r="AC66" i="23"/>
  <c r="AB66" i="23"/>
  <c r="AA66" i="23"/>
  <c r="Z66" i="23"/>
  <c r="X66" i="23"/>
  <c r="W66" i="23"/>
  <c r="U66" i="23"/>
  <c r="T66" i="23"/>
  <c r="S66" i="23"/>
  <c r="R66" i="23"/>
  <c r="Q66" i="23"/>
  <c r="P66" i="23"/>
  <c r="O66" i="23"/>
  <c r="N66" i="23"/>
  <c r="M66" i="23"/>
  <c r="K66" i="23"/>
  <c r="J66" i="23"/>
  <c r="I66" i="23"/>
  <c r="H66" i="23"/>
  <c r="G66" i="23"/>
  <c r="F66" i="23"/>
  <c r="D66" i="23"/>
  <c r="C66" i="23"/>
  <c r="AN65" i="23"/>
  <c r="AN66" i="23" s="1"/>
  <c r="AM65" i="23"/>
  <c r="AO65" i="23" s="1"/>
  <c r="AO66" i="23" s="1"/>
  <c r="AI65" i="23"/>
  <c r="AI66" i="23" s="1"/>
  <c r="Y65" i="23"/>
  <c r="Y66" i="23" s="1"/>
  <c r="V65" i="23"/>
  <c r="V66" i="23" s="1"/>
  <c r="L65" i="23"/>
  <c r="L66" i="23" s="1"/>
  <c r="E65" i="23"/>
  <c r="E66" i="23" s="1"/>
  <c r="AL64" i="23"/>
  <c r="AK64" i="23"/>
  <c r="AJ64" i="23"/>
  <c r="AH64" i="23"/>
  <c r="AG64" i="23"/>
  <c r="AF64" i="23"/>
  <c r="AE64" i="23"/>
  <c r="AD64" i="23"/>
  <c r="AC64" i="23"/>
  <c r="AB64" i="23"/>
  <c r="AA64" i="23"/>
  <c r="Z64" i="23"/>
  <c r="X64" i="23"/>
  <c r="W64" i="23"/>
  <c r="U64" i="23"/>
  <c r="T64" i="23"/>
  <c r="S64" i="23"/>
  <c r="R64" i="23"/>
  <c r="Q64" i="23"/>
  <c r="P64" i="23"/>
  <c r="O64" i="23"/>
  <c r="N64" i="23"/>
  <c r="M64" i="23"/>
  <c r="K64" i="23"/>
  <c r="J64" i="23"/>
  <c r="I64" i="23"/>
  <c r="H64" i="23"/>
  <c r="G64" i="23"/>
  <c r="F64" i="23"/>
  <c r="D64" i="23"/>
  <c r="C64" i="23"/>
  <c r="AN63" i="23"/>
  <c r="AM63" i="23"/>
  <c r="AI63" i="23"/>
  <c r="Y63" i="23"/>
  <c r="V63" i="23"/>
  <c r="L63" i="23"/>
  <c r="E63" i="23"/>
  <c r="AN62" i="23"/>
  <c r="AM62" i="23"/>
  <c r="AO62" i="23" s="1"/>
  <c r="AI62" i="23"/>
  <c r="Y62" i="23"/>
  <c r="V62" i="23"/>
  <c r="L62" i="23"/>
  <c r="E62" i="23"/>
  <c r="AN61" i="23"/>
  <c r="AM61" i="23"/>
  <c r="AI61" i="23"/>
  <c r="Y61" i="23"/>
  <c r="V61" i="23"/>
  <c r="L61" i="23"/>
  <c r="E61" i="23"/>
  <c r="AL60" i="23"/>
  <c r="AK60" i="23"/>
  <c r="AJ60" i="23"/>
  <c r="AH60" i="23"/>
  <c r="AG60" i="23"/>
  <c r="AF60" i="23"/>
  <c r="AE60" i="23"/>
  <c r="AD60" i="23"/>
  <c r="AC60" i="23"/>
  <c r="AB60" i="23"/>
  <c r="AA60" i="23"/>
  <c r="Z60" i="23"/>
  <c r="X60" i="23"/>
  <c r="W60" i="23"/>
  <c r="U60" i="23"/>
  <c r="T60" i="23"/>
  <c r="S60" i="23"/>
  <c r="R60" i="23"/>
  <c r="Q60" i="23"/>
  <c r="P60" i="23"/>
  <c r="O60" i="23"/>
  <c r="N60" i="23"/>
  <c r="M60" i="23"/>
  <c r="K60" i="23"/>
  <c r="J60" i="23"/>
  <c r="I60" i="23"/>
  <c r="H60" i="23"/>
  <c r="G60" i="23"/>
  <c r="F60" i="23"/>
  <c r="D60" i="23"/>
  <c r="C60" i="23"/>
  <c r="AN59" i="23"/>
  <c r="AM59" i="23"/>
  <c r="AI59" i="23"/>
  <c r="Y59" i="23"/>
  <c r="V59" i="23"/>
  <c r="L59" i="23"/>
  <c r="E59" i="23"/>
  <c r="AN58" i="23"/>
  <c r="AM58" i="23"/>
  <c r="AO58" i="23" s="1"/>
  <c r="AI58" i="23"/>
  <c r="Y58" i="23"/>
  <c r="V58" i="23"/>
  <c r="L58" i="23"/>
  <c r="E58" i="23"/>
  <c r="AN57" i="23"/>
  <c r="AM57" i="23"/>
  <c r="AO57" i="23" s="1"/>
  <c r="AI57" i="23"/>
  <c r="Y57" i="23"/>
  <c r="V57" i="23"/>
  <c r="L57" i="23"/>
  <c r="E57" i="23"/>
  <c r="AN56" i="23"/>
  <c r="AM56" i="23"/>
  <c r="AO56" i="23" s="1"/>
  <c r="AI56" i="23"/>
  <c r="Y56" i="23"/>
  <c r="V56" i="23"/>
  <c r="L56" i="23"/>
  <c r="E56" i="23"/>
  <c r="AN55" i="23"/>
  <c r="AM55" i="23"/>
  <c r="AI55" i="23"/>
  <c r="Y55" i="23"/>
  <c r="V55" i="23"/>
  <c r="L55" i="23"/>
  <c r="E55" i="23"/>
  <c r="AN54" i="23"/>
  <c r="AM54" i="23"/>
  <c r="AI54" i="23"/>
  <c r="Y54" i="23"/>
  <c r="V54" i="23"/>
  <c r="L54" i="23"/>
  <c r="E54" i="23"/>
  <c r="AL53" i="23"/>
  <c r="AK53" i="23"/>
  <c r="AJ53" i="23"/>
  <c r="AH53" i="23"/>
  <c r="AG53" i="23"/>
  <c r="AF53" i="23"/>
  <c r="AE53" i="23"/>
  <c r="AD53" i="23"/>
  <c r="AC53" i="23"/>
  <c r="AB53" i="23"/>
  <c r="AA53" i="23"/>
  <c r="Z53" i="23"/>
  <c r="X53" i="23"/>
  <c r="W53" i="23"/>
  <c r="U53" i="23"/>
  <c r="T53" i="23"/>
  <c r="S53" i="23"/>
  <c r="R53" i="23"/>
  <c r="Q53" i="23"/>
  <c r="P53" i="23"/>
  <c r="O53" i="23"/>
  <c r="N53" i="23"/>
  <c r="M53" i="23"/>
  <c r="K53" i="23"/>
  <c r="J53" i="23"/>
  <c r="I53" i="23"/>
  <c r="H53" i="23"/>
  <c r="G53" i="23"/>
  <c r="F53" i="23"/>
  <c r="D53" i="23"/>
  <c r="C53" i="23"/>
  <c r="AN52" i="23"/>
  <c r="AM52" i="23"/>
  <c r="AO52" i="23" s="1"/>
  <c r="AI52" i="23"/>
  <c r="Y52" i="23"/>
  <c r="V52" i="23"/>
  <c r="L52" i="23"/>
  <c r="E52" i="23"/>
  <c r="AN51" i="23"/>
  <c r="AM51" i="23"/>
  <c r="AI51" i="23"/>
  <c r="Y51" i="23"/>
  <c r="V51" i="23"/>
  <c r="L51" i="23"/>
  <c r="E51" i="23"/>
  <c r="AN50" i="23"/>
  <c r="AM50" i="23"/>
  <c r="AI50" i="23"/>
  <c r="Y50" i="23"/>
  <c r="V50" i="23"/>
  <c r="L50" i="23"/>
  <c r="E50" i="23"/>
  <c r="AN49" i="23"/>
  <c r="AM49" i="23"/>
  <c r="AO49" i="23" s="1"/>
  <c r="AI49" i="23"/>
  <c r="Y49" i="23"/>
  <c r="V49" i="23"/>
  <c r="L49" i="23"/>
  <c r="E49" i="23"/>
  <c r="AN48" i="23"/>
  <c r="AM48" i="23"/>
  <c r="AO48" i="23" s="1"/>
  <c r="AI48" i="23"/>
  <c r="Y48" i="23"/>
  <c r="V48" i="23"/>
  <c r="L48" i="23"/>
  <c r="E48" i="23"/>
  <c r="AN47" i="23"/>
  <c r="AM47" i="23"/>
  <c r="AI47" i="23"/>
  <c r="Y47" i="23"/>
  <c r="V47" i="23"/>
  <c r="L47" i="23"/>
  <c r="E47" i="23"/>
  <c r="AN46" i="23"/>
  <c r="AM46" i="23"/>
  <c r="AO46" i="23" s="1"/>
  <c r="AI46" i="23"/>
  <c r="Y46" i="23"/>
  <c r="V46" i="23"/>
  <c r="L46" i="23"/>
  <c r="E46" i="23"/>
  <c r="AN45" i="23"/>
  <c r="AM45" i="23"/>
  <c r="AO45" i="23" s="1"/>
  <c r="AI45" i="23"/>
  <c r="Y45" i="23"/>
  <c r="V45" i="23"/>
  <c r="L45" i="23"/>
  <c r="E45" i="23"/>
  <c r="AN44" i="23"/>
  <c r="AM44" i="23"/>
  <c r="AO44" i="23" s="1"/>
  <c r="AI44" i="23"/>
  <c r="Y44" i="23"/>
  <c r="V44" i="23"/>
  <c r="L44" i="23"/>
  <c r="E44" i="23"/>
  <c r="AN43" i="23"/>
  <c r="AM43" i="23"/>
  <c r="AI43" i="23"/>
  <c r="Y43" i="23"/>
  <c r="V43" i="23"/>
  <c r="L43" i="23"/>
  <c r="E43" i="23"/>
  <c r="AN42" i="23"/>
  <c r="AM42" i="23"/>
  <c r="AI42" i="23"/>
  <c r="Y42" i="23"/>
  <c r="V42" i="23"/>
  <c r="L42" i="23"/>
  <c r="E42" i="23"/>
  <c r="AN41" i="23"/>
  <c r="AM41" i="23"/>
  <c r="AO41" i="23" s="1"/>
  <c r="AI41" i="23"/>
  <c r="Y41" i="23"/>
  <c r="V41" i="23"/>
  <c r="L41" i="23"/>
  <c r="E41" i="23"/>
  <c r="AL40" i="23"/>
  <c r="AK40" i="23"/>
  <c r="AJ40" i="23"/>
  <c r="AH40" i="23"/>
  <c r="AG40" i="23"/>
  <c r="AF40" i="23"/>
  <c r="AE40" i="23"/>
  <c r="AD40" i="23"/>
  <c r="AC40" i="23"/>
  <c r="AB40" i="23"/>
  <c r="AA40" i="23"/>
  <c r="Z40" i="23"/>
  <c r="W40" i="23"/>
  <c r="U40" i="23"/>
  <c r="T40" i="23"/>
  <c r="S40" i="23"/>
  <c r="R40" i="23"/>
  <c r="Q40" i="23"/>
  <c r="P40" i="23"/>
  <c r="O40" i="23"/>
  <c r="N40" i="23"/>
  <c r="M40" i="23"/>
  <c r="K40" i="23"/>
  <c r="J40" i="23"/>
  <c r="I40" i="23"/>
  <c r="H40" i="23"/>
  <c r="G40" i="23"/>
  <c r="F40" i="23"/>
  <c r="D40" i="23"/>
  <c r="C40" i="23"/>
  <c r="AN39" i="23"/>
  <c r="AM39" i="23"/>
  <c r="AI39" i="23"/>
  <c r="Y39" i="23"/>
  <c r="V39" i="23"/>
  <c r="L39" i="23"/>
  <c r="E39" i="23"/>
  <c r="AN38" i="23"/>
  <c r="AM38" i="23"/>
  <c r="AI38" i="23"/>
  <c r="Y38" i="23"/>
  <c r="V38" i="23"/>
  <c r="L38" i="23"/>
  <c r="E38" i="23"/>
  <c r="AN37" i="23"/>
  <c r="AI37" i="23"/>
  <c r="X37" i="23"/>
  <c r="AM37" i="23" s="1"/>
  <c r="V37" i="23"/>
  <c r="L37" i="23"/>
  <c r="E37" i="23"/>
  <c r="AN36" i="23"/>
  <c r="AM36" i="23"/>
  <c r="AI36" i="23"/>
  <c r="Y36" i="23"/>
  <c r="V36" i="23"/>
  <c r="L36" i="23"/>
  <c r="E36" i="23"/>
  <c r="AN35" i="23"/>
  <c r="AM35" i="23"/>
  <c r="AI35" i="23"/>
  <c r="Y35" i="23"/>
  <c r="V35" i="23"/>
  <c r="L35" i="23"/>
  <c r="E35" i="23"/>
  <c r="AN34" i="23"/>
  <c r="AM34" i="23"/>
  <c r="AI34" i="23"/>
  <c r="Y34" i="23"/>
  <c r="V34" i="23"/>
  <c r="L34" i="23"/>
  <c r="E34" i="23"/>
  <c r="AN33" i="23"/>
  <c r="AM33" i="23"/>
  <c r="AO33" i="23" s="1"/>
  <c r="AI33" i="23"/>
  <c r="Y33" i="23"/>
  <c r="V33" i="23"/>
  <c r="L33" i="23"/>
  <c r="E33" i="23"/>
  <c r="AN32" i="23"/>
  <c r="AM32" i="23"/>
  <c r="AI32" i="23"/>
  <c r="Y32" i="23"/>
  <c r="V32" i="23"/>
  <c r="L32" i="23"/>
  <c r="E32" i="23"/>
  <c r="AN31" i="23"/>
  <c r="AM31" i="23"/>
  <c r="AO31" i="23" s="1"/>
  <c r="AI31" i="23"/>
  <c r="Y31" i="23"/>
  <c r="V31" i="23"/>
  <c r="L31" i="23"/>
  <c r="E31" i="23"/>
  <c r="AN30" i="23"/>
  <c r="AM30" i="23"/>
  <c r="AO30" i="23" s="1"/>
  <c r="AI30" i="23"/>
  <c r="Y30" i="23"/>
  <c r="V30" i="23"/>
  <c r="L30" i="23"/>
  <c r="E30" i="23"/>
  <c r="AN29" i="23"/>
  <c r="AM29" i="23"/>
  <c r="AI29" i="23"/>
  <c r="Y29" i="23"/>
  <c r="V29" i="23"/>
  <c r="L29" i="23"/>
  <c r="E29" i="23"/>
  <c r="AN28" i="23"/>
  <c r="AM28" i="23"/>
  <c r="AI28" i="23"/>
  <c r="Y28" i="23"/>
  <c r="V28" i="23"/>
  <c r="L28" i="23"/>
  <c r="E28" i="23"/>
  <c r="AN27" i="23"/>
  <c r="AM27" i="23"/>
  <c r="AI27" i="23"/>
  <c r="Y27" i="23"/>
  <c r="V27" i="23"/>
  <c r="L27" i="23"/>
  <c r="E27" i="23"/>
  <c r="AL26" i="23"/>
  <c r="AK26" i="23"/>
  <c r="AJ26" i="23"/>
  <c r="AH26" i="23"/>
  <c r="AG26" i="23"/>
  <c r="AF26" i="23"/>
  <c r="AE26" i="23"/>
  <c r="AD26" i="23"/>
  <c r="AC26" i="23"/>
  <c r="AB26" i="23"/>
  <c r="AA26" i="23"/>
  <c r="Z26" i="23"/>
  <c r="X26" i="23"/>
  <c r="W26" i="23"/>
  <c r="U26" i="23"/>
  <c r="T26" i="23"/>
  <c r="S26" i="23"/>
  <c r="R26" i="23"/>
  <c r="Q26" i="23"/>
  <c r="P26" i="23"/>
  <c r="O26" i="23"/>
  <c r="N26" i="23"/>
  <c r="M26" i="23"/>
  <c r="K26" i="23"/>
  <c r="J26" i="23"/>
  <c r="I26" i="23"/>
  <c r="H26" i="23"/>
  <c r="G26" i="23"/>
  <c r="F26" i="23"/>
  <c r="D26" i="23"/>
  <c r="C26" i="23"/>
  <c r="AN25" i="23"/>
  <c r="AM25" i="23"/>
  <c r="AI25" i="23"/>
  <c r="Y25" i="23"/>
  <c r="V25" i="23"/>
  <c r="L25" i="23"/>
  <c r="E25" i="23"/>
  <c r="AN24" i="23"/>
  <c r="AM24" i="23"/>
  <c r="AO24" i="23" s="1"/>
  <c r="AI24" i="23"/>
  <c r="Y24" i="23"/>
  <c r="V24" i="23"/>
  <c r="L24" i="23"/>
  <c r="E24" i="23"/>
  <c r="AN23" i="23"/>
  <c r="AM23" i="23"/>
  <c r="AI23" i="23"/>
  <c r="Y23" i="23"/>
  <c r="V23" i="23"/>
  <c r="L23" i="23"/>
  <c r="E23" i="23"/>
  <c r="AL22" i="23"/>
  <c r="AK22" i="23"/>
  <c r="AJ22" i="23"/>
  <c r="AH22" i="23"/>
  <c r="AG22" i="23"/>
  <c r="AF22" i="23"/>
  <c r="AE22" i="23"/>
  <c r="AD22" i="23"/>
  <c r="AC22" i="23"/>
  <c r="AB22" i="23"/>
  <c r="AA22" i="23"/>
  <c r="Z22" i="23"/>
  <c r="X22" i="23"/>
  <c r="W22" i="23"/>
  <c r="U22" i="23"/>
  <c r="T22" i="23"/>
  <c r="S22" i="23"/>
  <c r="R22" i="23"/>
  <c r="Q22" i="23"/>
  <c r="P22" i="23"/>
  <c r="O22" i="23"/>
  <c r="N22" i="23"/>
  <c r="M22" i="23"/>
  <c r="K22" i="23"/>
  <c r="J22" i="23"/>
  <c r="I22" i="23"/>
  <c r="H22" i="23"/>
  <c r="G22" i="23"/>
  <c r="F22" i="23"/>
  <c r="D22" i="23"/>
  <c r="C22" i="23"/>
  <c r="AN21" i="23"/>
  <c r="AM21" i="23"/>
  <c r="AI21" i="23"/>
  <c r="Y21" i="23"/>
  <c r="V21" i="23"/>
  <c r="E21" i="23"/>
  <c r="AN20" i="23"/>
  <c r="AM20" i="23"/>
  <c r="AO20" i="23" s="1"/>
  <c r="AI20" i="23"/>
  <c r="Y20" i="23"/>
  <c r="V20" i="23"/>
  <c r="L20" i="23"/>
  <c r="E20" i="23"/>
  <c r="AN19" i="23"/>
  <c r="AM19" i="23"/>
  <c r="AI19" i="23"/>
  <c r="Y19" i="23"/>
  <c r="V19" i="23"/>
  <c r="L19" i="23"/>
  <c r="E19" i="23"/>
  <c r="AN18" i="23"/>
  <c r="AM18" i="23"/>
  <c r="AI18" i="23"/>
  <c r="Y18" i="23"/>
  <c r="V18" i="23"/>
  <c r="L18" i="23"/>
  <c r="E18" i="23"/>
  <c r="AN17" i="23"/>
  <c r="AM17" i="23"/>
  <c r="AO17" i="23" s="1"/>
  <c r="AI17" i="23"/>
  <c r="Y17" i="23"/>
  <c r="V17" i="23"/>
  <c r="L17" i="23"/>
  <c r="E17" i="23"/>
  <c r="AN16" i="23"/>
  <c r="AM16" i="23"/>
  <c r="AI16" i="23"/>
  <c r="Y16" i="23"/>
  <c r="V16" i="23"/>
  <c r="L16" i="23"/>
  <c r="E16" i="23"/>
  <c r="AN15" i="23"/>
  <c r="AM15" i="23"/>
  <c r="AO15" i="23" s="1"/>
  <c r="AI15" i="23"/>
  <c r="Y15" i="23"/>
  <c r="V15" i="23"/>
  <c r="L15" i="23"/>
  <c r="E15" i="23"/>
  <c r="AN14" i="23"/>
  <c r="AM14" i="23"/>
  <c r="AI14" i="23"/>
  <c r="Y14" i="23"/>
  <c r="V14" i="23"/>
  <c r="L14" i="23"/>
  <c r="E14" i="23"/>
  <c r="AL13" i="23"/>
  <c r="AK13" i="23"/>
  <c r="AJ13" i="23"/>
  <c r="AH13" i="23"/>
  <c r="AG13" i="23"/>
  <c r="AF13" i="23"/>
  <c r="AE13" i="23"/>
  <c r="AD13" i="23"/>
  <c r="AC13" i="23"/>
  <c r="AB13" i="23"/>
  <c r="AA13" i="23"/>
  <c r="Z13" i="23"/>
  <c r="X13" i="23"/>
  <c r="W13" i="23"/>
  <c r="U13" i="23"/>
  <c r="T13" i="23"/>
  <c r="S13" i="23"/>
  <c r="R13" i="23"/>
  <c r="Q13" i="23"/>
  <c r="P13" i="23"/>
  <c r="O13" i="23"/>
  <c r="N13" i="23"/>
  <c r="M13" i="23"/>
  <c r="K13" i="23"/>
  <c r="J13" i="23"/>
  <c r="I13" i="23"/>
  <c r="H13" i="23"/>
  <c r="G13" i="23"/>
  <c r="F13" i="23"/>
  <c r="D13" i="23"/>
  <c r="C13" i="23"/>
  <c r="AN12" i="23"/>
  <c r="AM12" i="23"/>
  <c r="AI12" i="23"/>
  <c r="Y12" i="23"/>
  <c r="V12" i="23"/>
  <c r="L12" i="23"/>
  <c r="E12" i="23"/>
  <c r="AN11" i="23"/>
  <c r="AM11" i="23"/>
  <c r="AI11" i="23"/>
  <c r="Y11" i="23"/>
  <c r="V11" i="23"/>
  <c r="L11" i="23"/>
  <c r="E11" i="23"/>
  <c r="AN10" i="23"/>
  <c r="AM10" i="23"/>
  <c r="AI10" i="23"/>
  <c r="Y10" i="23"/>
  <c r="V10" i="23"/>
  <c r="L10" i="23"/>
  <c r="E10" i="23"/>
  <c r="AN9" i="23"/>
  <c r="AM9" i="23"/>
  <c r="AI9" i="23"/>
  <c r="Y9" i="23"/>
  <c r="V9" i="23"/>
  <c r="L9" i="23"/>
  <c r="E9" i="23"/>
  <c r="AN8" i="23"/>
  <c r="AM8" i="23"/>
  <c r="AO8" i="23" s="1"/>
  <c r="AI8" i="23"/>
  <c r="Y8" i="23"/>
  <c r="V8" i="23"/>
  <c r="L8" i="23"/>
  <c r="E8" i="23"/>
  <c r="AL7" i="23"/>
  <c r="AK7" i="23"/>
  <c r="AJ7" i="23"/>
  <c r="AH7" i="23"/>
  <c r="AG7" i="23"/>
  <c r="AF7" i="23"/>
  <c r="AE7" i="23"/>
  <c r="AD7" i="23"/>
  <c r="AC7" i="23"/>
  <c r="AB7" i="23"/>
  <c r="AA7" i="23"/>
  <c r="Z7" i="23"/>
  <c r="X7" i="23"/>
  <c r="W7" i="23"/>
  <c r="U7" i="23"/>
  <c r="T7" i="23"/>
  <c r="S7" i="23"/>
  <c r="R7" i="23"/>
  <c r="Q7" i="23"/>
  <c r="P7" i="23"/>
  <c r="O7" i="23"/>
  <c r="N7" i="23"/>
  <c r="M7" i="23"/>
  <c r="K7" i="23"/>
  <c r="J7" i="23"/>
  <c r="I7" i="23"/>
  <c r="H7" i="23"/>
  <c r="G7" i="23"/>
  <c r="F7" i="23"/>
  <c r="D7" i="23"/>
  <c r="C7" i="23"/>
  <c r="AN6" i="23"/>
  <c r="AN7" i="23" s="1"/>
  <c r="AM6" i="23"/>
  <c r="AO6" i="23" s="1"/>
  <c r="AO7" i="23" s="1"/>
  <c r="AI6" i="23"/>
  <c r="AI7" i="23" s="1"/>
  <c r="Y6" i="23"/>
  <c r="Y7" i="23" s="1"/>
  <c r="V6" i="23"/>
  <c r="V7" i="23" s="1"/>
  <c r="L6" i="23"/>
  <c r="L7" i="23" s="1"/>
  <c r="E6" i="23"/>
  <c r="E7" i="23" s="1"/>
  <c r="Y22" i="23" l="1"/>
  <c r="V92" i="23"/>
  <c r="AO9" i="23"/>
  <c r="AI26" i="23"/>
  <c r="AO28" i="23"/>
  <c r="AO42" i="23"/>
  <c r="AM60" i="23"/>
  <c r="AN75" i="23"/>
  <c r="L64" i="23"/>
  <c r="AN83" i="23"/>
  <c r="Y75" i="23"/>
  <c r="AI92" i="23"/>
  <c r="AO25" i="23"/>
  <c r="AO51" i="23"/>
  <c r="AO63" i="23"/>
  <c r="AO87" i="23"/>
  <c r="V22" i="23"/>
  <c r="AO16" i="23"/>
  <c r="AO32" i="23"/>
  <c r="AI64" i="23"/>
  <c r="AO74" i="23"/>
  <c r="V83" i="23"/>
  <c r="AO39" i="23"/>
  <c r="AO11" i="23"/>
  <c r="AO19" i="23"/>
  <c r="AO35" i="23"/>
  <c r="AO43" i="23"/>
  <c r="E60" i="23"/>
  <c r="AO69" i="23"/>
  <c r="AO70" i="23" s="1"/>
  <c r="AM70" i="23"/>
  <c r="E75" i="23"/>
  <c r="AO29" i="23"/>
  <c r="AO38" i="23"/>
  <c r="Y37" i="23"/>
  <c r="Y40" i="23" s="1"/>
  <c r="AI13" i="23"/>
  <c r="AO10" i="23"/>
  <c r="AO34" i="23"/>
  <c r="V89" i="23"/>
  <c r="E92" i="23"/>
  <c r="F93" i="23"/>
  <c r="V40" i="23"/>
  <c r="AN60" i="23"/>
  <c r="AN13" i="23"/>
  <c r="AO18" i="23"/>
  <c r="AI53" i="23"/>
  <c r="L60" i="23"/>
  <c r="L93" i="23" s="1"/>
  <c r="AO59" i="23"/>
  <c r="AO78" i="23"/>
  <c r="L89" i="23"/>
  <c r="AO88" i="23"/>
  <c r="AN53" i="23"/>
  <c r="AI89" i="23"/>
  <c r="D93" i="23"/>
  <c r="W93" i="23"/>
  <c r="AO14" i="23"/>
  <c r="AO21" i="23"/>
  <c r="AO55" i="23"/>
  <c r="V64" i="23"/>
  <c r="V75" i="23"/>
  <c r="AO84" i="23"/>
  <c r="H93" i="23"/>
  <c r="Z93" i="23"/>
  <c r="N93" i="23"/>
  <c r="AI22" i="23"/>
  <c r="I93" i="23"/>
  <c r="AN89" i="23"/>
  <c r="L26" i="23"/>
  <c r="AO36" i="23"/>
  <c r="AO50" i="23"/>
  <c r="AI75" i="23"/>
  <c r="AI83" i="23"/>
  <c r="AO81" i="23"/>
  <c r="AA93" i="23"/>
  <c r="AO90" i="23"/>
  <c r="J93" i="23"/>
  <c r="AB93" i="23"/>
  <c r="G93" i="23"/>
  <c r="L22" i="23"/>
  <c r="V26" i="23"/>
  <c r="AI40" i="23"/>
  <c r="AM53" i="23"/>
  <c r="AM64" i="23"/>
  <c r="AO67" i="23"/>
  <c r="AO68" i="23" s="1"/>
  <c r="AM75" i="23"/>
  <c r="AD93" i="23"/>
  <c r="AO76" i="23"/>
  <c r="AO77" i="23" s="1"/>
  <c r="AN92" i="23"/>
  <c r="K93" i="23"/>
  <c r="AC93" i="23"/>
  <c r="Y26" i="23"/>
  <c r="AO61" i="23"/>
  <c r="AO64" i="23" s="1"/>
  <c r="M93" i="23"/>
  <c r="Y64" i="23"/>
  <c r="AM7" i="23"/>
  <c r="E64" i="23"/>
  <c r="AE93" i="23"/>
  <c r="L75" i="23"/>
  <c r="AN22" i="23"/>
  <c r="E13" i="23"/>
  <c r="AM26" i="23"/>
  <c r="V60" i="23"/>
  <c r="O93" i="23"/>
  <c r="AF93" i="23"/>
  <c r="L13" i="23"/>
  <c r="AN26" i="23"/>
  <c r="AO37" i="23"/>
  <c r="Y60" i="23"/>
  <c r="E83" i="23"/>
  <c r="Y92" i="23"/>
  <c r="AG93" i="23"/>
  <c r="V13" i="23"/>
  <c r="E26" i="23"/>
  <c r="E40" i="23"/>
  <c r="E53" i="23"/>
  <c r="AI60" i="23"/>
  <c r="L83" i="23"/>
  <c r="R93" i="23"/>
  <c r="Q93" i="23"/>
  <c r="AH93" i="23"/>
  <c r="Y13" i="23"/>
  <c r="AO12" i="23"/>
  <c r="L40" i="23"/>
  <c r="L53" i="23"/>
  <c r="AO54" i="23"/>
  <c r="AO82" i="23"/>
  <c r="S93" i="23"/>
  <c r="E89" i="23"/>
  <c r="P93" i="23"/>
  <c r="AO91" i="23"/>
  <c r="AJ93" i="23"/>
  <c r="AM13" i="23"/>
  <c r="V53" i="23"/>
  <c r="Y83" i="23"/>
  <c r="AK93" i="23"/>
  <c r="AN40" i="23"/>
  <c r="E22" i="23"/>
  <c r="Y53" i="23"/>
  <c r="AO47" i="23"/>
  <c r="AM66" i="23"/>
  <c r="C93" i="23"/>
  <c r="T93" i="23"/>
  <c r="AL93" i="23"/>
  <c r="AO83" i="23"/>
  <c r="AM40" i="23"/>
  <c r="AM89" i="23"/>
  <c r="AO23" i="23"/>
  <c r="AO26" i="23" s="1"/>
  <c r="AM22" i="23"/>
  <c r="X40" i="23"/>
  <c r="X93" i="23" s="1"/>
  <c r="AO27" i="23"/>
  <c r="AN64" i="23"/>
  <c r="AM83" i="23"/>
  <c r="AM92" i="23"/>
  <c r="AO71" i="23"/>
  <c r="AO75" i="23" s="1"/>
  <c r="E93" i="23" l="1"/>
  <c r="AO92" i="23"/>
  <c r="AO13" i="23"/>
  <c r="V93" i="23"/>
  <c r="AO60" i="23"/>
  <c r="AO53" i="23"/>
  <c r="Y93" i="23"/>
  <c r="AI93" i="23"/>
  <c r="AO89" i="23"/>
  <c r="AO93" i="23" s="1"/>
  <c r="AN93" i="23"/>
  <c r="AO40" i="23"/>
  <c r="AO22" i="23"/>
  <c r="AM93" i="23"/>
  <c r="AO94" i="23" l="1"/>
  <c r="U94" i="23"/>
  <c r="R94" i="23"/>
  <c r="G94" i="23"/>
  <c r="K94" i="23"/>
  <c r="M94" i="23"/>
  <c r="AE94" i="23"/>
  <c r="Z94" i="23"/>
  <c r="AA94" i="23"/>
  <c r="AL94" i="23"/>
  <c r="F94" i="23"/>
  <c r="I94" i="23"/>
  <c r="S94" i="23"/>
  <c r="AF94" i="23"/>
  <c r="O94" i="23"/>
  <c r="AC94" i="23"/>
  <c r="AJ94" i="23"/>
  <c r="AD94" i="23"/>
  <c r="N94" i="23"/>
  <c r="Q94" i="23"/>
  <c r="J94" i="23"/>
  <c r="AB94" i="23"/>
  <c r="T94" i="23"/>
  <c r="AK94" i="23"/>
  <c r="AG94" i="23"/>
  <c r="P94" i="23"/>
  <c r="H94" i="23"/>
  <c r="W94" i="23"/>
  <c r="AH94" i="23"/>
  <c r="V94" i="23"/>
  <c r="L94" i="23"/>
  <c r="AM94" i="23"/>
  <c r="AI94" i="23"/>
  <c r="Y94" i="23"/>
  <c r="X94" i="23"/>
  <c r="AN94" i="23"/>
  <c r="AN88" i="18" l="1"/>
  <c r="AM88" i="18"/>
  <c r="AL88" i="18"/>
  <c r="AK88" i="18"/>
  <c r="AJ88" i="18"/>
  <c r="AI88" i="18"/>
  <c r="AH88" i="18"/>
  <c r="AF88" i="18"/>
  <c r="AE88" i="18"/>
  <c r="AC88" i="18"/>
  <c r="AB88" i="18"/>
  <c r="AA88" i="18"/>
  <c r="Z88" i="18"/>
  <c r="Y88" i="18"/>
  <c r="X88" i="18"/>
  <c r="W88" i="18"/>
  <c r="V88" i="18"/>
  <c r="U88" i="18"/>
  <c r="T88" i="18"/>
  <c r="S88" i="18"/>
  <c r="Q88" i="18"/>
  <c r="P88" i="18"/>
  <c r="O88" i="18"/>
  <c r="N88" i="18"/>
  <c r="M88" i="18"/>
  <c r="J88" i="18"/>
  <c r="I88" i="18"/>
  <c r="H88" i="18"/>
  <c r="G88" i="18"/>
  <c r="F88" i="18"/>
  <c r="D88" i="18"/>
  <c r="C88" i="18"/>
  <c r="AQ87" i="18"/>
  <c r="AP87" i="18"/>
  <c r="AR87" i="18" s="1"/>
  <c r="AO87" i="18"/>
  <c r="AG87" i="18"/>
  <c r="AD87" i="18"/>
  <c r="R87" i="18"/>
  <c r="L87" i="18"/>
  <c r="K87" i="18"/>
  <c r="E87" i="18"/>
  <c r="E88" i="18" s="1"/>
  <c r="AQ86" i="18"/>
  <c r="AP86" i="18"/>
  <c r="AO86" i="18"/>
  <c r="AG86" i="18"/>
  <c r="AD86" i="18"/>
  <c r="AD88" i="18" s="1"/>
  <c r="R86" i="18"/>
  <c r="R88" i="18" s="1"/>
  <c r="L86" i="18"/>
  <c r="K86" i="18"/>
  <c r="E86" i="18"/>
  <c r="AN85" i="18"/>
  <c r="AM85" i="18"/>
  <c r="AL85" i="18"/>
  <c r="AK85" i="18"/>
  <c r="AJ85" i="18"/>
  <c r="AI85" i="18"/>
  <c r="AH85" i="18"/>
  <c r="AF85" i="18"/>
  <c r="AE85" i="18"/>
  <c r="AC85" i="18"/>
  <c r="AB85" i="18"/>
  <c r="AA85" i="18"/>
  <c r="Z85" i="18"/>
  <c r="Y85" i="18"/>
  <c r="X85" i="18"/>
  <c r="W85" i="18"/>
  <c r="V85" i="18"/>
  <c r="U85" i="18"/>
  <c r="T85" i="18"/>
  <c r="S85" i="18"/>
  <c r="Q85" i="18"/>
  <c r="P85" i="18"/>
  <c r="O85" i="18"/>
  <c r="N85" i="18"/>
  <c r="M85" i="18"/>
  <c r="J85" i="18"/>
  <c r="I85" i="18"/>
  <c r="H85" i="18"/>
  <c r="G85" i="18"/>
  <c r="F85" i="18"/>
  <c r="D85" i="18"/>
  <c r="C85" i="18"/>
  <c r="AQ84" i="18"/>
  <c r="AP84" i="18"/>
  <c r="AO84" i="18"/>
  <c r="AG84" i="18"/>
  <c r="AD84" i="18"/>
  <c r="R84" i="18"/>
  <c r="L84" i="18"/>
  <c r="K84" i="18"/>
  <c r="E84" i="18"/>
  <c r="AQ83" i="18"/>
  <c r="AP83" i="18"/>
  <c r="AR83" i="18" s="1"/>
  <c r="AO83" i="18"/>
  <c r="AG83" i="18"/>
  <c r="AD83" i="18"/>
  <c r="R83" i="18"/>
  <c r="L83" i="18"/>
  <c r="K83" i="18"/>
  <c r="E83" i="18"/>
  <c r="AQ82" i="18"/>
  <c r="AP82" i="18"/>
  <c r="AO82" i="18"/>
  <c r="AG82" i="18"/>
  <c r="AD82" i="18"/>
  <c r="R82" i="18"/>
  <c r="L82" i="18"/>
  <c r="K82" i="18"/>
  <c r="E82" i="18"/>
  <c r="AQ81" i="18"/>
  <c r="AP81" i="18"/>
  <c r="AR81" i="18" s="1"/>
  <c r="AO81" i="18"/>
  <c r="AG81" i="18"/>
  <c r="AD81" i="18"/>
  <c r="R81" i="18"/>
  <c r="L81" i="18"/>
  <c r="K81" i="18"/>
  <c r="E81" i="18"/>
  <c r="AQ80" i="18"/>
  <c r="AP80" i="18"/>
  <c r="AR80" i="18" s="1"/>
  <c r="AO80" i="18"/>
  <c r="AG80" i="18"/>
  <c r="AD80" i="18"/>
  <c r="R80" i="18"/>
  <c r="L80" i="18"/>
  <c r="K80" i="18"/>
  <c r="E80" i="18"/>
  <c r="AN79" i="18"/>
  <c r="AM79" i="18"/>
  <c r="AL79" i="18"/>
  <c r="AK79" i="18"/>
  <c r="AJ79" i="18"/>
  <c r="AI79" i="18"/>
  <c r="AH79" i="18"/>
  <c r="AF79" i="18"/>
  <c r="AE79" i="18"/>
  <c r="AC79" i="18"/>
  <c r="AB79" i="18"/>
  <c r="AA79" i="18"/>
  <c r="Z79" i="18"/>
  <c r="Y79" i="18"/>
  <c r="X79" i="18"/>
  <c r="W79" i="18"/>
  <c r="V79" i="18"/>
  <c r="U79" i="18"/>
  <c r="T79" i="18"/>
  <c r="S79" i="18"/>
  <c r="Q79" i="18"/>
  <c r="P79" i="18"/>
  <c r="O79" i="18"/>
  <c r="N79" i="18"/>
  <c r="M79" i="18"/>
  <c r="J79" i="18"/>
  <c r="I79" i="18"/>
  <c r="H79" i="18"/>
  <c r="G79" i="18"/>
  <c r="F79" i="18"/>
  <c r="D79" i="18"/>
  <c r="C79" i="18"/>
  <c r="AQ78" i="18"/>
  <c r="AP78" i="18"/>
  <c r="AO78" i="18"/>
  <c r="AG78" i="18"/>
  <c r="AD78" i="18"/>
  <c r="R78" i="18"/>
  <c r="L78" i="18"/>
  <c r="K78" i="18"/>
  <c r="E78" i="18"/>
  <c r="AQ77" i="18"/>
  <c r="AP77" i="18"/>
  <c r="AR77" i="18" s="1"/>
  <c r="AO77" i="18"/>
  <c r="AG77" i="18"/>
  <c r="AD77" i="18"/>
  <c r="R77" i="18"/>
  <c r="L77" i="18"/>
  <c r="K77" i="18"/>
  <c r="E77" i="18"/>
  <c r="AQ76" i="18"/>
  <c r="AP76" i="18"/>
  <c r="AO76" i="18"/>
  <c r="AG76" i="18"/>
  <c r="AD76" i="18"/>
  <c r="R76" i="18"/>
  <c r="L76" i="18"/>
  <c r="K76" i="18"/>
  <c r="E76" i="18"/>
  <c r="AQ75" i="18"/>
  <c r="AP75" i="18"/>
  <c r="AO75" i="18"/>
  <c r="AG75" i="18"/>
  <c r="AD75" i="18"/>
  <c r="R75" i="18"/>
  <c r="L75" i="18"/>
  <c r="K75" i="18"/>
  <c r="E75" i="18"/>
  <c r="AQ74" i="18"/>
  <c r="AP74" i="18"/>
  <c r="AO74" i="18"/>
  <c r="AG74" i="18"/>
  <c r="AD74" i="18"/>
  <c r="R74" i="18"/>
  <c r="L74" i="18"/>
  <c r="K74" i="18"/>
  <c r="E74" i="18"/>
  <c r="AN73" i="18"/>
  <c r="AM73" i="18"/>
  <c r="AL73" i="18"/>
  <c r="AK73" i="18"/>
  <c r="AJ73" i="18"/>
  <c r="AI73" i="18"/>
  <c r="AH73" i="18"/>
  <c r="AF73" i="18"/>
  <c r="AE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J73" i="18"/>
  <c r="I73" i="18"/>
  <c r="H73" i="18"/>
  <c r="G73" i="18"/>
  <c r="F73" i="18"/>
  <c r="D73" i="18"/>
  <c r="C73" i="18"/>
  <c r="AQ72" i="18"/>
  <c r="AQ73" i="18" s="1"/>
  <c r="AP72" i="18"/>
  <c r="AO72" i="18"/>
  <c r="AO73" i="18" s="1"/>
  <c r="AG72" i="18"/>
  <c r="AG73" i="18" s="1"/>
  <c r="AD72" i="18"/>
  <c r="AD73" i="18" s="1"/>
  <c r="R72" i="18"/>
  <c r="R73" i="18" s="1"/>
  <c r="L72" i="18"/>
  <c r="L73" i="18" s="1"/>
  <c r="K72" i="18"/>
  <c r="K73" i="18" s="1"/>
  <c r="E72" i="18"/>
  <c r="E73" i="18" s="1"/>
  <c r="AN71" i="18"/>
  <c r="AM71" i="18"/>
  <c r="AL71" i="18"/>
  <c r="AK71" i="18"/>
  <c r="AJ71" i="18"/>
  <c r="AI71" i="18"/>
  <c r="AH71" i="18"/>
  <c r="AF71" i="18"/>
  <c r="AE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J71" i="18"/>
  <c r="I71" i="18"/>
  <c r="H71" i="18"/>
  <c r="G71" i="18"/>
  <c r="F71" i="18"/>
  <c r="D71" i="18"/>
  <c r="C71" i="18"/>
  <c r="AQ70" i="18"/>
  <c r="AP70" i="18"/>
  <c r="AO70" i="18"/>
  <c r="AG70" i="18"/>
  <c r="AD70" i="18"/>
  <c r="R70" i="18"/>
  <c r="L70" i="18"/>
  <c r="K70" i="18"/>
  <c r="E70" i="18"/>
  <c r="AQ69" i="18"/>
  <c r="AP69" i="18"/>
  <c r="AO69" i="18"/>
  <c r="AG69" i="18"/>
  <c r="AD69" i="18"/>
  <c r="R69" i="18"/>
  <c r="L69" i="18"/>
  <c r="K69" i="18"/>
  <c r="E69" i="18"/>
  <c r="AQ68" i="18"/>
  <c r="AP68" i="18"/>
  <c r="AR68" i="18" s="1"/>
  <c r="AO68" i="18"/>
  <c r="AG68" i="18"/>
  <c r="AD68" i="18"/>
  <c r="R68" i="18"/>
  <c r="L68" i="18"/>
  <c r="K68" i="18"/>
  <c r="E68" i="18"/>
  <c r="AQ67" i="18"/>
  <c r="AP67" i="18"/>
  <c r="AO67" i="18"/>
  <c r="AG67" i="18"/>
  <c r="AD67" i="18"/>
  <c r="R67" i="18"/>
  <c r="L67" i="18"/>
  <c r="K67" i="18"/>
  <c r="E67" i="18"/>
  <c r="AN66" i="18"/>
  <c r="AM66" i="18"/>
  <c r="AL66" i="18"/>
  <c r="AK66" i="18"/>
  <c r="AJ66" i="18"/>
  <c r="AI66" i="18"/>
  <c r="AH66" i="18"/>
  <c r="AF66" i="18"/>
  <c r="AE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J66" i="18"/>
  <c r="I66" i="18"/>
  <c r="H66" i="18"/>
  <c r="G66" i="18"/>
  <c r="F66" i="18"/>
  <c r="D66" i="18"/>
  <c r="C66" i="18"/>
  <c r="AQ65" i="18"/>
  <c r="AQ66" i="18" s="1"/>
  <c r="AP65" i="18"/>
  <c r="AO65" i="18"/>
  <c r="AO66" i="18" s="1"/>
  <c r="AG65" i="18"/>
  <c r="AG66" i="18" s="1"/>
  <c r="AD65" i="18"/>
  <c r="AD66" i="18" s="1"/>
  <c r="R65" i="18"/>
  <c r="R66" i="18" s="1"/>
  <c r="L65" i="18"/>
  <c r="L66" i="18" s="1"/>
  <c r="K65" i="18"/>
  <c r="K66" i="18" s="1"/>
  <c r="E65" i="18"/>
  <c r="E66" i="18" s="1"/>
  <c r="AN64" i="18"/>
  <c r="AM64" i="18"/>
  <c r="AL64" i="18"/>
  <c r="AK64" i="18"/>
  <c r="AJ64" i="18"/>
  <c r="AI64" i="18"/>
  <c r="AH64" i="18"/>
  <c r="AF64" i="18"/>
  <c r="AE64" i="18"/>
  <c r="AC64" i="18"/>
  <c r="AB64" i="18"/>
  <c r="AA64" i="18"/>
  <c r="Z64" i="18"/>
  <c r="Y64" i="18"/>
  <c r="X64" i="18"/>
  <c r="W64" i="18"/>
  <c r="V64" i="18"/>
  <c r="U64" i="18"/>
  <c r="T64" i="18"/>
  <c r="S64" i="18"/>
  <c r="Q64" i="18"/>
  <c r="P64" i="18"/>
  <c r="O64" i="18"/>
  <c r="N64" i="18"/>
  <c r="M64" i="18"/>
  <c r="J64" i="18"/>
  <c r="I64" i="18"/>
  <c r="H64" i="18"/>
  <c r="G64" i="18"/>
  <c r="F64" i="18"/>
  <c r="D64" i="18"/>
  <c r="C64" i="18"/>
  <c r="AQ63" i="18"/>
  <c r="AQ64" i="18" s="1"/>
  <c r="AP63" i="18"/>
  <c r="AO63" i="18"/>
  <c r="AO64" i="18" s="1"/>
  <c r="AG63" i="18"/>
  <c r="AG64" i="18" s="1"/>
  <c r="AD63" i="18"/>
  <c r="AD64" i="18" s="1"/>
  <c r="R63" i="18"/>
  <c r="R64" i="18" s="1"/>
  <c r="L63" i="18"/>
  <c r="L64" i="18" s="1"/>
  <c r="K63" i="18"/>
  <c r="K64" i="18" s="1"/>
  <c r="E63" i="18"/>
  <c r="E64" i="18" s="1"/>
  <c r="AN62" i="18"/>
  <c r="AM62" i="18"/>
  <c r="AL62" i="18"/>
  <c r="AK62" i="18"/>
  <c r="AJ62" i="18"/>
  <c r="AI62" i="18"/>
  <c r="AH62" i="18"/>
  <c r="AF62" i="18"/>
  <c r="AE62" i="18"/>
  <c r="AC62" i="18"/>
  <c r="AB62" i="18"/>
  <c r="AA62" i="18"/>
  <c r="Z62" i="18"/>
  <c r="Y62" i="18"/>
  <c r="X62" i="18"/>
  <c r="W62" i="18"/>
  <c r="V62" i="18"/>
  <c r="U62" i="18"/>
  <c r="T62" i="18"/>
  <c r="S62" i="18"/>
  <c r="Q62" i="18"/>
  <c r="P62" i="18"/>
  <c r="O62" i="18"/>
  <c r="N62" i="18"/>
  <c r="M62" i="18"/>
  <c r="J62" i="18"/>
  <c r="I62" i="18"/>
  <c r="H62" i="18"/>
  <c r="G62" i="18"/>
  <c r="F62" i="18"/>
  <c r="D62" i="18"/>
  <c r="C62" i="18"/>
  <c r="AQ61" i="18"/>
  <c r="AQ62" i="18" s="1"/>
  <c r="AP61" i="18"/>
  <c r="AP62" i="18" s="1"/>
  <c r="AO61" i="18"/>
  <c r="AO62" i="18" s="1"/>
  <c r="AG61" i="18"/>
  <c r="AG62" i="18" s="1"/>
  <c r="AD61" i="18"/>
  <c r="AD62" i="18" s="1"/>
  <c r="R61" i="18"/>
  <c r="R62" i="18" s="1"/>
  <c r="L61" i="18"/>
  <c r="L62" i="18" s="1"/>
  <c r="K61" i="18"/>
  <c r="K62" i="18" s="1"/>
  <c r="E61" i="18"/>
  <c r="E62" i="18" s="1"/>
  <c r="AN60" i="18"/>
  <c r="AM60" i="18"/>
  <c r="AL60" i="18"/>
  <c r="AK60" i="18"/>
  <c r="AJ60" i="18"/>
  <c r="AI60" i="18"/>
  <c r="AH60" i="18"/>
  <c r="AF60" i="18"/>
  <c r="AE60" i="18"/>
  <c r="AC60" i="18"/>
  <c r="AB60" i="18"/>
  <c r="AA60" i="18"/>
  <c r="Z60" i="18"/>
  <c r="Y60" i="18"/>
  <c r="X60" i="18"/>
  <c r="W60" i="18"/>
  <c r="V60" i="18"/>
  <c r="U60" i="18"/>
  <c r="T60" i="18"/>
  <c r="S60" i="18"/>
  <c r="Q60" i="18"/>
  <c r="P60" i="18"/>
  <c r="O60" i="18"/>
  <c r="N60" i="18"/>
  <c r="M60" i="18"/>
  <c r="J60" i="18"/>
  <c r="I60" i="18"/>
  <c r="H60" i="18"/>
  <c r="G60" i="18"/>
  <c r="F60" i="18"/>
  <c r="D60" i="18"/>
  <c r="C60" i="18"/>
  <c r="AQ59" i="18"/>
  <c r="AP59" i="18"/>
  <c r="AR59" i="18" s="1"/>
  <c r="AO59" i="18"/>
  <c r="AG59" i="18"/>
  <c r="AD59" i="18"/>
  <c r="R59" i="18"/>
  <c r="L59" i="18"/>
  <c r="K59" i="18"/>
  <c r="E59" i="18"/>
  <c r="AQ58" i="18"/>
  <c r="AP58" i="18"/>
  <c r="AO58" i="18"/>
  <c r="AG58" i="18"/>
  <c r="AD58" i="18"/>
  <c r="R58" i="18"/>
  <c r="L58" i="18"/>
  <c r="K58" i="18"/>
  <c r="E58" i="18"/>
  <c r="AQ57" i="18"/>
  <c r="AP57" i="18"/>
  <c r="AO57" i="18"/>
  <c r="AG57" i="18"/>
  <c r="AD57" i="18"/>
  <c r="R57" i="18"/>
  <c r="L57" i="18"/>
  <c r="K57" i="18"/>
  <c r="E57" i="18"/>
  <c r="AN56" i="18"/>
  <c r="AM56" i="18"/>
  <c r="AL56" i="18"/>
  <c r="AK56" i="18"/>
  <c r="AJ56" i="18"/>
  <c r="AI56" i="18"/>
  <c r="AH56" i="18"/>
  <c r="AF56" i="18"/>
  <c r="AE56" i="18"/>
  <c r="AC56" i="18"/>
  <c r="AB56" i="18"/>
  <c r="AA56" i="18"/>
  <c r="Z56" i="18"/>
  <c r="Y56" i="18"/>
  <c r="X56" i="18"/>
  <c r="W56" i="18"/>
  <c r="V56" i="18"/>
  <c r="U56" i="18"/>
  <c r="T56" i="18"/>
  <c r="S56" i="18"/>
  <c r="Q56" i="18"/>
  <c r="P56" i="18"/>
  <c r="O56" i="18"/>
  <c r="N56" i="18"/>
  <c r="M56" i="18"/>
  <c r="J56" i="18"/>
  <c r="I56" i="18"/>
  <c r="H56" i="18"/>
  <c r="G56" i="18"/>
  <c r="F56" i="18"/>
  <c r="D56" i="18"/>
  <c r="C56" i="18"/>
  <c r="AQ55" i="18"/>
  <c r="AP55" i="18"/>
  <c r="AO55" i="18"/>
  <c r="AG55" i="18"/>
  <c r="AD55" i="18"/>
  <c r="R55" i="18"/>
  <c r="L55" i="18"/>
  <c r="K55" i="18"/>
  <c r="E55" i="18"/>
  <c r="AQ54" i="18"/>
  <c r="AP54" i="18"/>
  <c r="AR54" i="18" s="1"/>
  <c r="AO54" i="18"/>
  <c r="AG54" i="18"/>
  <c r="AD54" i="18"/>
  <c r="R54" i="18"/>
  <c r="L54" i="18"/>
  <c r="K54" i="18"/>
  <c r="E54" i="18"/>
  <c r="AQ53" i="18"/>
  <c r="AP53" i="18"/>
  <c r="AR53" i="18" s="1"/>
  <c r="AO53" i="18"/>
  <c r="AG53" i="18"/>
  <c r="AD53" i="18"/>
  <c r="R53" i="18"/>
  <c r="L53" i="18"/>
  <c r="K53" i="18"/>
  <c r="E53" i="18"/>
  <c r="AQ52" i="18"/>
  <c r="AP52" i="18"/>
  <c r="AO52" i="18"/>
  <c r="AG52" i="18"/>
  <c r="AD52" i="18"/>
  <c r="R52" i="18"/>
  <c r="L52" i="18"/>
  <c r="K52" i="18"/>
  <c r="E52" i="18"/>
  <c r="AQ51" i="18"/>
  <c r="AP51" i="18"/>
  <c r="AO51" i="18"/>
  <c r="AG51" i="18"/>
  <c r="AD51" i="18"/>
  <c r="R51" i="18"/>
  <c r="L51" i="18"/>
  <c r="K51" i="18"/>
  <c r="E51" i="18"/>
  <c r="AQ50" i="18"/>
  <c r="AP50" i="18"/>
  <c r="AO50" i="18"/>
  <c r="AG50" i="18"/>
  <c r="AD50" i="18"/>
  <c r="R50" i="18"/>
  <c r="L50" i="18"/>
  <c r="K50" i="18"/>
  <c r="E50" i="18"/>
  <c r="AN49" i="18"/>
  <c r="AM49" i="18"/>
  <c r="AL49" i="18"/>
  <c r="AK49" i="18"/>
  <c r="AJ49" i="18"/>
  <c r="AI49" i="18"/>
  <c r="AH49" i="18"/>
  <c r="AF49" i="18"/>
  <c r="AE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J49" i="18"/>
  <c r="I49" i="18"/>
  <c r="H49" i="18"/>
  <c r="G49" i="18"/>
  <c r="F49" i="18"/>
  <c r="D49" i="18"/>
  <c r="C49" i="18"/>
  <c r="AQ48" i="18"/>
  <c r="AP48" i="18"/>
  <c r="AO48" i="18"/>
  <c r="AG48" i="18"/>
  <c r="AD48" i="18"/>
  <c r="R48" i="18"/>
  <c r="L48" i="18"/>
  <c r="K48" i="18"/>
  <c r="E48" i="18"/>
  <c r="AQ47" i="18"/>
  <c r="AP47" i="18"/>
  <c r="AR47" i="18" s="1"/>
  <c r="AO47" i="18"/>
  <c r="AG47" i="18"/>
  <c r="AD47" i="18"/>
  <c r="R47" i="18"/>
  <c r="L47" i="18"/>
  <c r="K47" i="18"/>
  <c r="E47" i="18"/>
  <c r="AQ46" i="18"/>
  <c r="AP46" i="18"/>
  <c r="AO46" i="18"/>
  <c r="AG46" i="18"/>
  <c r="AD46" i="18"/>
  <c r="R46" i="18"/>
  <c r="L46" i="18"/>
  <c r="K46" i="18"/>
  <c r="E46" i="18"/>
  <c r="AQ45" i="18"/>
  <c r="AP45" i="18"/>
  <c r="AO45" i="18"/>
  <c r="AG45" i="18"/>
  <c r="AD45" i="18"/>
  <c r="R45" i="18"/>
  <c r="L45" i="18"/>
  <c r="K45" i="18"/>
  <c r="E45" i="18"/>
  <c r="AQ44" i="18"/>
  <c r="AP44" i="18"/>
  <c r="AO44" i="18"/>
  <c r="AG44" i="18"/>
  <c r="AD44" i="18"/>
  <c r="R44" i="18"/>
  <c r="L44" i="18"/>
  <c r="K44" i="18"/>
  <c r="E44" i="18"/>
  <c r="AQ43" i="18"/>
  <c r="AP43" i="18"/>
  <c r="AR43" i="18" s="1"/>
  <c r="AO43" i="18"/>
  <c r="AG43" i="18"/>
  <c r="AD43" i="18"/>
  <c r="R43" i="18"/>
  <c r="L43" i="18"/>
  <c r="K43" i="18"/>
  <c r="E43" i="18"/>
  <c r="AQ42" i="18"/>
  <c r="AP42" i="18"/>
  <c r="AO42" i="18"/>
  <c r="AG42" i="18"/>
  <c r="AD42" i="18"/>
  <c r="R42" i="18"/>
  <c r="L42" i="18"/>
  <c r="K42" i="18"/>
  <c r="E42" i="18"/>
  <c r="AQ41" i="18"/>
  <c r="AP41" i="18"/>
  <c r="AO41" i="18"/>
  <c r="AG41" i="18"/>
  <c r="AD41" i="18"/>
  <c r="R41" i="18"/>
  <c r="L41" i="18"/>
  <c r="K41" i="18"/>
  <c r="E41" i="18"/>
  <c r="AQ40" i="18"/>
  <c r="AP40" i="18"/>
  <c r="AO40" i="18"/>
  <c r="AG40" i="18"/>
  <c r="AD40" i="18"/>
  <c r="R40" i="18"/>
  <c r="L40" i="18"/>
  <c r="K40" i="18"/>
  <c r="E40" i="18"/>
  <c r="AQ39" i="18"/>
  <c r="AP39" i="18"/>
  <c r="AR39" i="18" s="1"/>
  <c r="AO39" i="18"/>
  <c r="AG39" i="18"/>
  <c r="AD39" i="18"/>
  <c r="R39" i="18"/>
  <c r="L39" i="18"/>
  <c r="K39" i="18"/>
  <c r="E39" i="18"/>
  <c r="AQ38" i="18"/>
  <c r="AP38" i="18"/>
  <c r="AO38" i="18"/>
  <c r="AG38" i="18"/>
  <c r="AD38" i="18"/>
  <c r="R38" i="18"/>
  <c r="L38" i="18"/>
  <c r="K38" i="18"/>
  <c r="E38" i="18"/>
  <c r="AQ37" i="18"/>
  <c r="AP37" i="18"/>
  <c r="AO37" i="18"/>
  <c r="AG37" i="18"/>
  <c r="AD37" i="18"/>
  <c r="R37" i="18"/>
  <c r="L37" i="18"/>
  <c r="K37" i="18"/>
  <c r="E37" i="18"/>
  <c r="AN36" i="18"/>
  <c r="AM36" i="18"/>
  <c r="AL36" i="18"/>
  <c r="AK36" i="18"/>
  <c r="AJ36" i="18"/>
  <c r="AI36" i="18"/>
  <c r="AH36" i="18"/>
  <c r="AF36" i="18"/>
  <c r="AE36" i="18"/>
  <c r="AC36" i="18"/>
  <c r="AB36" i="18"/>
  <c r="AA36" i="18"/>
  <c r="Z36" i="18"/>
  <c r="Y36" i="18"/>
  <c r="X36" i="18"/>
  <c r="W36" i="18"/>
  <c r="V36" i="18"/>
  <c r="U36" i="18"/>
  <c r="T36" i="18"/>
  <c r="S36" i="18"/>
  <c r="Q36" i="18"/>
  <c r="P36" i="18"/>
  <c r="O36" i="18"/>
  <c r="N36" i="18"/>
  <c r="M36" i="18"/>
  <c r="J36" i="18"/>
  <c r="I36" i="18"/>
  <c r="H36" i="18"/>
  <c r="G36" i="18"/>
  <c r="F36" i="18"/>
  <c r="D36" i="18"/>
  <c r="C36" i="18"/>
  <c r="AQ35" i="18"/>
  <c r="AP35" i="18"/>
  <c r="AO35" i="18"/>
  <c r="AG35" i="18"/>
  <c r="AD35" i="18"/>
  <c r="R35" i="18"/>
  <c r="L35" i="18"/>
  <c r="K35" i="18"/>
  <c r="E35" i="18"/>
  <c r="AQ34" i="18"/>
  <c r="AP34" i="18"/>
  <c r="AO34" i="18"/>
  <c r="AG34" i="18"/>
  <c r="AD34" i="18"/>
  <c r="R34" i="18"/>
  <c r="L34" i="18"/>
  <c r="K34" i="18"/>
  <c r="E34" i="18"/>
  <c r="AQ33" i="18"/>
  <c r="AP33" i="18"/>
  <c r="AO33" i="18"/>
  <c r="AG33" i="18"/>
  <c r="AD33" i="18"/>
  <c r="R33" i="18"/>
  <c r="L33" i="18"/>
  <c r="K33" i="18"/>
  <c r="E33" i="18"/>
  <c r="AQ32" i="18"/>
  <c r="AP32" i="18"/>
  <c r="AO32" i="18"/>
  <c r="AG32" i="18"/>
  <c r="AD32" i="18"/>
  <c r="R32" i="18"/>
  <c r="L32" i="18"/>
  <c r="K32" i="18"/>
  <c r="E32" i="18"/>
  <c r="AQ31" i="18"/>
  <c r="AP31" i="18"/>
  <c r="AO31" i="18"/>
  <c r="AG31" i="18"/>
  <c r="AD31" i="18"/>
  <c r="R31" i="18"/>
  <c r="L31" i="18"/>
  <c r="K31" i="18"/>
  <c r="E31" i="18"/>
  <c r="AQ30" i="18"/>
  <c r="AP30" i="18"/>
  <c r="AO30" i="18"/>
  <c r="AG30" i="18"/>
  <c r="AD30" i="18"/>
  <c r="R30" i="18"/>
  <c r="L30" i="18"/>
  <c r="K30" i="18"/>
  <c r="E30" i="18"/>
  <c r="AQ29" i="18"/>
  <c r="AP29" i="18"/>
  <c r="AO29" i="18"/>
  <c r="AG29" i="18"/>
  <c r="AD29" i="18"/>
  <c r="R29" i="18"/>
  <c r="L29" i="18"/>
  <c r="K29" i="18"/>
  <c r="E29" i="18"/>
  <c r="AQ28" i="18"/>
  <c r="AP28" i="18"/>
  <c r="AO28" i="18"/>
  <c r="AG28" i="18"/>
  <c r="AD28" i="18"/>
  <c r="R28" i="18"/>
  <c r="L28" i="18"/>
  <c r="K28" i="18"/>
  <c r="E28" i="18"/>
  <c r="AQ27" i="18"/>
  <c r="AP27" i="18"/>
  <c r="AO27" i="18"/>
  <c r="AG27" i="18"/>
  <c r="AD27" i="18"/>
  <c r="R27" i="18"/>
  <c r="L27" i="18"/>
  <c r="K27" i="18"/>
  <c r="E27" i="18"/>
  <c r="AQ26" i="18"/>
  <c r="AP26" i="18"/>
  <c r="AR26" i="18" s="1"/>
  <c r="AO26" i="18"/>
  <c r="AG26" i="18"/>
  <c r="AD26" i="18"/>
  <c r="R26" i="18"/>
  <c r="L26" i="18"/>
  <c r="K26" i="18"/>
  <c r="E26" i="18"/>
  <c r="AQ25" i="18"/>
  <c r="AP25" i="18"/>
  <c r="AO25" i="18"/>
  <c r="AG25" i="18"/>
  <c r="AD25" i="18"/>
  <c r="R25" i="18"/>
  <c r="L25" i="18"/>
  <c r="K25" i="18"/>
  <c r="E25" i="18"/>
  <c r="AQ24" i="18"/>
  <c r="AP24" i="18"/>
  <c r="AO24" i="18"/>
  <c r="AG24" i="18"/>
  <c r="AD24" i="18"/>
  <c r="R24" i="18"/>
  <c r="L24" i="18"/>
  <c r="K24" i="18"/>
  <c r="E24" i="18"/>
  <c r="AN23" i="18"/>
  <c r="AM23" i="18"/>
  <c r="AL23" i="18"/>
  <c r="AK23" i="18"/>
  <c r="AJ23" i="18"/>
  <c r="AI23" i="18"/>
  <c r="AH23" i="18"/>
  <c r="AF23" i="18"/>
  <c r="AE23" i="18"/>
  <c r="AC23" i="18"/>
  <c r="AB23" i="18"/>
  <c r="AA23" i="18"/>
  <c r="Z23" i="18"/>
  <c r="Y23" i="18"/>
  <c r="X23" i="18"/>
  <c r="W23" i="18"/>
  <c r="V23" i="18"/>
  <c r="U23" i="18"/>
  <c r="T23" i="18"/>
  <c r="S23" i="18"/>
  <c r="Q23" i="18"/>
  <c r="P23" i="18"/>
  <c r="O23" i="18"/>
  <c r="N23" i="18"/>
  <c r="M23" i="18"/>
  <c r="J23" i="18"/>
  <c r="I23" i="18"/>
  <c r="H23" i="18"/>
  <c r="G23" i="18"/>
  <c r="F23" i="18"/>
  <c r="D23" i="18"/>
  <c r="C23" i="18"/>
  <c r="AQ22" i="18"/>
  <c r="AP22" i="18"/>
  <c r="AR22" i="18" s="1"/>
  <c r="AO22" i="18"/>
  <c r="AG22" i="18"/>
  <c r="AD22" i="18"/>
  <c r="R22" i="18"/>
  <c r="L22" i="18"/>
  <c r="K22" i="18"/>
  <c r="E22" i="18"/>
  <c r="AQ21" i="18"/>
  <c r="AP21" i="18"/>
  <c r="AR21" i="18" s="1"/>
  <c r="AO21" i="18"/>
  <c r="AG21" i="18"/>
  <c r="AD21" i="18"/>
  <c r="R21" i="18"/>
  <c r="L21" i="18"/>
  <c r="K21" i="18"/>
  <c r="E21" i="18"/>
  <c r="AQ20" i="18"/>
  <c r="AP20" i="18"/>
  <c r="AO20" i="18"/>
  <c r="AG20" i="18"/>
  <c r="AD20" i="18"/>
  <c r="R20" i="18"/>
  <c r="L20" i="18"/>
  <c r="K20" i="18"/>
  <c r="E20" i="18"/>
  <c r="AN19" i="18"/>
  <c r="AM19" i="18"/>
  <c r="AL19" i="18"/>
  <c r="AK19" i="18"/>
  <c r="AJ19" i="18"/>
  <c r="AI19" i="18"/>
  <c r="AH19" i="18"/>
  <c r="AF19" i="18"/>
  <c r="AE19" i="18"/>
  <c r="AC19" i="18"/>
  <c r="AB19" i="18"/>
  <c r="AA19" i="18"/>
  <c r="Z19" i="18"/>
  <c r="Y19" i="18"/>
  <c r="X19" i="18"/>
  <c r="W19" i="18"/>
  <c r="V19" i="18"/>
  <c r="U19" i="18"/>
  <c r="T19" i="18"/>
  <c r="S19" i="18"/>
  <c r="Q19" i="18"/>
  <c r="P19" i="18"/>
  <c r="O19" i="18"/>
  <c r="N19" i="18"/>
  <c r="M19" i="18"/>
  <c r="J19" i="18"/>
  <c r="I19" i="18"/>
  <c r="H19" i="18"/>
  <c r="G19" i="18"/>
  <c r="F19" i="18"/>
  <c r="D19" i="18"/>
  <c r="C19" i="18"/>
  <c r="AQ18" i="18"/>
  <c r="AP18" i="18"/>
  <c r="AO18" i="18"/>
  <c r="AG18" i="18"/>
  <c r="AD18" i="18"/>
  <c r="R18" i="18"/>
  <c r="L18" i="18"/>
  <c r="K18" i="18"/>
  <c r="E18" i="18"/>
  <c r="AQ17" i="18"/>
  <c r="AP17" i="18"/>
  <c r="AR17" i="18" s="1"/>
  <c r="AO17" i="18"/>
  <c r="AG17" i="18"/>
  <c r="AD17" i="18"/>
  <c r="R17" i="18"/>
  <c r="L17" i="18"/>
  <c r="K17" i="18"/>
  <c r="E17" i="18"/>
  <c r="AQ16" i="18"/>
  <c r="AP16" i="18"/>
  <c r="AO16" i="18"/>
  <c r="AG16" i="18"/>
  <c r="AD16" i="18"/>
  <c r="R16" i="18"/>
  <c r="L16" i="18"/>
  <c r="K16" i="18"/>
  <c r="E16" i="18"/>
  <c r="AQ15" i="18"/>
  <c r="AP15" i="18"/>
  <c r="AO15" i="18"/>
  <c r="AG15" i="18"/>
  <c r="AD15" i="18"/>
  <c r="R15" i="18"/>
  <c r="L15" i="18"/>
  <c r="K15" i="18"/>
  <c r="E15" i="18"/>
  <c r="AQ14" i="18"/>
  <c r="AP14" i="18"/>
  <c r="AO14" i="18"/>
  <c r="AG14" i="18"/>
  <c r="AD14" i="18"/>
  <c r="R14" i="18"/>
  <c r="L14" i="18"/>
  <c r="K14" i="18"/>
  <c r="E14" i="18"/>
  <c r="AQ13" i="18"/>
  <c r="AP13" i="18"/>
  <c r="AO13" i="18"/>
  <c r="AG13" i="18"/>
  <c r="AD13" i="18"/>
  <c r="R13" i="18"/>
  <c r="L13" i="18"/>
  <c r="K13" i="18"/>
  <c r="E13" i="18"/>
  <c r="AN12" i="18"/>
  <c r="AM12" i="18"/>
  <c r="AL12" i="18"/>
  <c r="AK12" i="18"/>
  <c r="AJ12" i="18"/>
  <c r="AI12" i="18"/>
  <c r="AH12" i="18"/>
  <c r="AF12" i="18"/>
  <c r="AE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J12" i="18"/>
  <c r="I12" i="18"/>
  <c r="H12" i="18"/>
  <c r="G12" i="18"/>
  <c r="F12" i="18"/>
  <c r="D12" i="18"/>
  <c r="C12" i="18"/>
  <c r="AQ11" i="18"/>
  <c r="AP11" i="18"/>
  <c r="AR11" i="18" s="1"/>
  <c r="AO11" i="18"/>
  <c r="AG11" i="18"/>
  <c r="AD11" i="18"/>
  <c r="R11" i="18"/>
  <c r="L11" i="18"/>
  <c r="K11" i="18"/>
  <c r="E11" i="18"/>
  <c r="AQ10" i="18"/>
  <c r="AP10" i="18"/>
  <c r="AO10" i="18"/>
  <c r="AG10" i="18"/>
  <c r="AD10" i="18"/>
  <c r="R10" i="18"/>
  <c r="L10" i="18"/>
  <c r="K10" i="18"/>
  <c r="E10" i="18"/>
  <c r="AQ9" i="18"/>
  <c r="AP9" i="18"/>
  <c r="AO9" i="18"/>
  <c r="AG9" i="18"/>
  <c r="AD9" i="18"/>
  <c r="R9" i="18"/>
  <c r="L9" i="18"/>
  <c r="K9" i="18"/>
  <c r="E9" i="18"/>
  <c r="AQ8" i="18"/>
  <c r="AP8" i="18"/>
  <c r="AR8" i="18" s="1"/>
  <c r="AO8" i="18"/>
  <c r="AG8" i="18"/>
  <c r="AD8" i="18"/>
  <c r="R8" i="18"/>
  <c r="L8" i="18"/>
  <c r="K8" i="18"/>
  <c r="E8" i="18"/>
  <c r="AN7" i="18"/>
  <c r="AM7" i="18"/>
  <c r="AL7" i="18"/>
  <c r="AK7" i="18"/>
  <c r="AJ7" i="18"/>
  <c r="AI7" i="18"/>
  <c r="AH7" i="18"/>
  <c r="AF7" i="18"/>
  <c r="AE7" i="18"/>
  <c r="AC7" i="18"/>
  <c r="AB7" i="18"/>
  <c r="AA7" i="18"/>
  <c r="Z7" i="18"/>
  <c r="Y7" i="18"/>
  <c r="X7" i="18"/>
  <c r="W7" i="18"/>
  <c r="V7" i="18"/>
  <c r="U7" i="18"/>
  <c r="T7" i="18"/>
  <c r="S7" i="18"/>
  <c r="Q7" i="18"/>
  <c r="P7" i="18"/>
  <c r="O7" i="18"/>
  <c r="N7" i="18"/>
  <c r="M7" i="18"/>
  <c r="J7" i="18"/>
  <c r="I7" i="18"/>
  <c r="H7" i="18"/>
  <c r="G7" i="18"/>
  <c r="F7" i="18"/>
  <c r="D7" i="18"/>
  <c r="C7" i="18"/>
  <c r="AQ6" i="18"/>
  <c r="AQ7" i="18" s="1"/>
  <c r="AP6" i="18"/>
  <c r="AP7" i="18" s="1"/>
  <c r="AO6" i="18"/>
  <c r="AO7" i="18" s="1"/>
  <c r="AG6" i="18"/>
  <c r="AG7" i="18" s="1"/>
  <c r="AD6" i="18"/>
  <c r="AD7" i="18" s="1"/>
  <c r="R6" i="18"/>
  <c r="R7" i="18" s="1"/>
  <c r="L6" i="18"/>
  <c r="L7" i="18" s="1"/>
  <c r="K6" i="18"/>
  <c r="K7" i="18" s="1"/>
  <c r="E6" i="18"/>
  <c r="E7" i="18" s="1"/>
  <c r="AO79" i="18" l="1"/>
  <c r="E23" i="18"/>
  <c r="AR51" i="18"/>
  <c r="AR55" i="18"/>
  <c r="AR10" i="18"/>
  <c r="AR15" i="18"/>
  <c r="AG56" i="18"/>
  <c r="AR16" i="18"/>
  <c r="AR34" i="18"/>
  <c r="AP79" i="18"/>
  <c r="AR13" i="18"/>
  <c r="AO49" i="18"/>
  <c r="R85" i="18"/>
  <c r="AR18" i="18"/>
  <c r="E19" i="18"/>
  <c r="R79" i="18"/>
  <c r="AD49" i="18"/>
  <c r="E85" i="18"/>
  <c r="AR38" i="18"/>
  <c r="AR74" i="18"/>
  <c r="AR84" i="18"/>
  <c r="AO88" i="18"/>
  <c r="AR40" i="18"/>
  <c r="K60" i="18"/>
  <c r="AR42" i="18"/>
  <c r="L60" i="18"/>
  <c r="AR69" i="18"/>
  <c r="AD79" i="18"/>
  <c r="AR27" i="18"/>
  <c r="AR31" i="18"/>
  <c r="AR35" i="18"/>
  <c r="AR58" i="18"/>
  <c r="AP71" i="18"/>
  <c r="AG79" i="18"/>
  <c r="AQ79" i="18"/>
  <c r="AG88" i="18"/>
  <c r="X89" i="18"/>
  <c r="L36" i="18"/>
  <c r="K12" i="18"/>
  <c r="R23" i="18"/>
  <c r="AO23" i="18"/>
  <c r="AQ71" i="18"/>
  <c r="L23" i="18"/>
  <c r="AD23" i="18"/>
  <c r="AR25" i="18"/>
  <c r="AG23" i="18"/>
  <c r="AR52" i="18"/>
  <c r="AR9" i="18"/>
  <c r="AR12" i="18" s="1"/>
  <c r="L56" i="18"/>
  <c r="AR63" i="18"/>
  <c r="AR64" i="18" s="1"/>
  <c r="AR76" i="18"/>
  <c r="R60" i="18"/>
  <c r="R49" i="18"/>
  <c r="AE89" i="18"/>
  <c r="AP64" i="18"/>
  <c r="AR30" i="18"/>
  <c r="AQ12" i="18"/>
  <c r="AQ23" i="18"/>
  <c r="AP60" i="18"/>
  <c r="L71" i="18"/>
  <c r="AG85" i="18"/>
  <c r="AD19" i="18"/>
  <c r="AR29" i="18"/>
  <c r="AR33" i="18"/>
  <c r="AR37" i="18"/>
  <c r="AR41" i="18"/>
  <c r="AR45" i="18"/>
  <c r="AQ60" i="18"/>
  <c r="R71" i="18"/>
  <c r="E71" i="18"/>
  <c r="AR72" i="18"/>
  <c r="AR73" i="18" s="1"/>
  <c r="AP23" i="18"/>
  <c r="L49" i="18"/>
  <c r="AP88" i="18"/>
  <c r="E36" i="18"/>
  <c r="AR70" i="18"/>
  <c r="AR82" i="18"/>
  <c r="AO85" i="18"/>
  <c r="E60" i="18"/>
  <c r="L19" i="18"/>
  <c r="AQ19" i="18"/>
  <c r="AO56" i="18"/>
  <c r="E79" i="18"/>
  <c r="K85" i="18"/>
  <c r="J89" i="18"/>
  <c r="AD60" i="18"/>
  <c r="S89" i="18"/>
  <c r="AO12" i="18"/>
  <c r="AQ56" i="18"/>
  <c r="AR46" i="18"/>
  <c r="AO60" i="18"/>
  <c r="AO19" i="18"/>
  <c r="L12" i="18"/>
  <c r="R19" i="18"/>
  <c r="E49" i="18"/>
  <c r="AD56" i="18"/>
  <c r="K79" i="18"/>
  <c r="AK89" i="18"/>
  <c r="L85" i="18"/>
  <c r="K88" i="18"/>
  <c r="K56" i="18"/>
  <c r="AR78" i="18"/>
  <c r="K71" i="18"/>
  <c r="AD85" i="18"/>
  <c r="E12" i="18"/>
  <c r="AR14" i="18"/>
  <c r="K19" i="18"/>
  <c r="K36" i="18"/>
  <c r="AR28" i="18"/>
  <c r="AR32" i="18"/>
  <c r="AR44" i="18"/>
  <c r="AR48" i="18"/>
  <c r="L79" i="18"/>
  <c r="AL89" i="18"/>
  <c r="L88" i="18"/>
  <c r="AR65" i="18"/>
  <c r="AR66" i="18" s="1"/>
  <c r="AP66" i="18"/>
  <c r="AP19" i="18"/>
  <c r="Y89" i="18"/>
  <c r="Z89" i="18"/>
  <c r="O89" i="18"/>
  <c r="AG49" i="18"/>
  <c r="R56" i="18"/>
  <c r="AQ88" i="18"/>
  <c r="AR86" i="18"/>
  <c r="AR88" i="18" s="1"/>
  <c r="F89" i="18"/>
  <c r="T89" i="18"/>
  <c r="AF89" i="18"/>
  <c r="AJ89" i="18"/>
  <c r="AO36" i="18"/>
  <c r="AG60" i="18"/>
  <c r="AA89" i="18"/>
  <c r="AQ49" i="18"/>
  <c r="AP49" i="18"/>
  <c r="N89" i="18"/>
  <c r="R12" i="18"/>
  <c r="AG19" i="18"/>
  <c r="AR20" i="18"/>
  <c r="AR23" i="18" s="1"/>
  <c r="E56" i="18"/>
  <c r="AC89" i="18"/>
  <c r="AD12" i="18"/>
  <c r="K23" i="18"/>
  <c r="AP36" i="18"/>
  <c r="AD71" i="18"/>
  <c r="AQ85" i="18"/>
  <c r="U89" i="18"/>
  <c r="AR50" i="18"/>
  <c r="M89" i="18"/>
  <c r="C89" i="18"/>
  <c r="AG12" i="18"/>
  <c r="AQ36" i="18"/>
  <c r="AG71" i="18"/>
  <c r="V89" i="18"/>
  <c r="AH89" i="18"/>
  <c r="AM89" i="18"/>
  <c r="P89" i="18"/>
  <c r="AN89" i="18"/>
  <c r="R36" i="18"/>
  <c r="Q89" i="18"/>
  <c r="AD36" i="18"/>
  <c r="K49" i="18"/>
  <c r="AG36" i="18"/>
  <c r="D89" i="18"/>
  <c r="AR24" i="18"/>
  <c r="AO71" i="18"/>
  <c r="W89" i="18"/>
  <c r="AI89" i="18"/>
  <c r="AP85" i="18"/>
  <c r="AP12" i="18"/>
  <c r="AP56" i="18"/>
  <c r="AR57" i="18"/>
  <c r="AR61" i="18"/>
  <c r="AR62" i="18" s="1"/>
  <c r="AR67" i="18"/>
  <c r="AR71" i="18" s="1"/>
  <c r="AR75" i="18"/>
  <c r="AP73" i="18"/>
  <c r="AR6" i="18"/>
  <c r="AR7" i="18" s="1"/>
  <c r="AR19" i="18" l="1"/>
  <c r="AR85" i="18"/>
  <c r="AR49" i="18"/>
  <c r="AP89" i="18"/>
  <c r="E89" i="18"/>
  <c r="AR79" i="18"/>
  <c r="AR89" i="18" s="1"/>
  <c r="V90" i="18" s="1"/>
  <c r="AO89" i="18"/>
  <c r="AD89" i="18"/>
  <c r="AR60" i="18"/>
  <c r="AR36" i="18"/>
  <c r="AR56" i="18"/>
  <c r="AG89" i="18"/>
  <c r="K89" i="18"/>
  <c r="L89" i="18"/>
  <c r="R89" i="18"/>
  <c r="AQ89" i="18"/>
  <c r="R90" i="18" l="1"/>
  <c r="AM90" i="18"/>
  <c r="AN90" i="18"/>
  <c r="AG90" i="18"/>
  <c r="Y90" i="18"/>
  <c r="AC90" i="18"/>
  <c r="U90" i="18"/>
  <c r="AO90" i="18"/>
  <c r="AF90" i="18"/>
  <c r="W90" i="18"/>
  <c r="O90" i="18"/>
  <c r="N90" i="18"/>
  <c r="Z90" i="18"/>
  <c r="AA90" i="18"/>
  <c r="AP90" i="18"/>
  <c r="AI90" i="18"/>
  <c r="AJ90" i="18"/>
  <c r="AH90" i="18"/>
  <c r="M90" i="18"/>
  <c r="Q90" i="18"/>
  <c r="AQ90" i="18"/>
  <c r="AB90" i="18"/>
  <c r="AR90" i="18"/>
  <c r="AE90" i="18"/>
  <c r="AK90" i="18"/>
  <c r="AL90" i="18"/>
  <c r="X90" i="18"/>
  <c r="S90" i="18"/>
  <c r="T90" i="18"/>
  <c r="AD90" i="18"/>
</calcChain>
</file>

<file path=xl/sharedStrings.xml><?xml version="1.0" encoding="utf-8"?>
<sst xmlns="http://schemas.openxmlformats.org/spreadsheetml/2006/main" count="1078" uniqueCount="278">
  <si>
    <t>단과대학</t>
  </si>
  <si>
    <t>모집단위</t>
  </si>
  <si>
    <t>수시모집</t>
    <phoneticPr fontId="3" type="noConversion"/>
  </si>
  <si>
    <t>정시모집</t>
    <phoneticPr fontId="3" type="noConversion"/>
  </si>
  <si>
    <t>정원 내/외</t>
  </si>
  <si>
    <t>전체
모집
인원</t>
    <phoneticPr fontId="3" type="noConversion"/>
  </si>
  <si>
    <t>학생부종합전형</t>
  </si>
  <si>
    <t>학생부교과전형</t>
  </si>
  <si>
    <t>실기/실적위주</t>
    <phoneticPr fontId="3" type="noConversion"/>
  </si>
  <si>
    <t>수시
소계</t>
    <phoneticPr fontId="3" type="noConversion"/>
  </si>
  <si>
    <t>가군</t>
  </si>
  <si>
    <t>나군</t>
  </si>
  <si>
    <t>정시
소계</t>
    <phoneticPr fontId="3" type="noConversion"/>
  </si>
  <si>
    <t>정원내</t>
  </si>
  <si>
    <t>학종
소계</t>
    <phoneticPr fontId="3" type="noConversion"/>
  </si>
  <si>
    <t>정원외</t>
  </si>
  <si>
    <t>교과
소계</t>
    <phoneticPr fontId="3" type="noConversion"/>
  </si>
  <si>
    <t>기회
균형</t>
    <phoneticPr fontId="3" type="noConversion"/>
  </si>
  <si>
    <t>일반</t>
  </si>
  <si>
    <t>지역
인재</t>
    <phoneticPr fontId="3" type="noConversion"/>
  </si>
  <si>
    <t>평생
학습자</t>
    <phoneticPr fontId="3" type="noConversion"/>
  </si>
  <si>
    <t>저소득-
지역인재</t>
    <phoneticPr fontId="3" type="noConversion"/>
  </si>
  <si>
    <t>사회
배려자</t>
    <phoneticPr fontId="3" type="noConversion"/>
  </si>
  <si>
    <t>실기
우수자</t>
    <phoneticPr fontId="3" type="noConversion"/>
  </si>
  <si>
    <t>농어촌
학생</t>
    <phoneticPr fontId="3" type="noConversion"/>
  </si>
  <si>
    <t>저소득층
학생</t>
    <phoneticPr fontId="3" type="noConversion"/>
  </si>
  <si>
    <t>특성화
고교
졸업자</t>
    <phoneticPr fontId="3" type="noConversion"/>
  </si>
  <si>
    <t>특수
교육
대상자</t>
    <phoneticPr fontId="3" type="noConversion"/>
  </si>
  <si>
    <t>재직자</t>
    <phoneticPr fontId="3" type="noConversion"/>
  </si>
  <si>
    <t>체육
특기자</t>
    <phoneticPr fontId="3" type="noConversion"/>
  </si>
  <si>
    <t>수능
(일반)</t>
    <phoneticPr fontId="3" type="noConversion"/>
  </si>
  <si>
    <t>실기/
실적</t>
    <phoneticPr fontId="3" type="noConversion"/>
  </si>
  <si>
    <t>정원
내</t>
    <phoneticPr fontId="3" type="noConversion"/>
  </si>
  <si>
    <t>정원
외</t>
    <phoneticPr fontId="3" type="noConversion"/>
  </si>
  <si>
    <t>간호대학</t>
  </si>
  <si>
    <t>간호학과</t>
  </si>
  <si>
    <t>소계</t>
  </si>
  <si>
    <t>경영대학</t>
  </si>
  <si>
    <t>경영·회계학부</t>
  </si>
  <si>
    <t>◎</t>
  </si>
  <si>
    <t>경제·정보통계학부</t>
  </si>
  <si>
    <t>관광경영학과</t>
  </si>
  <si>
    <t>◎</t>
    <phoneticPr fontId="3" type="noConversion"/>
  </si>
  <si>
    <t>국제무역학과</t>
  </si>
  <si>
    <t>농업생명과학대학</t>
  </si>
  <si>
    <t>스마트팜농산업학과</t>
  </si>
  <si>
    <t>바이오산업공학부</t>
    <phoneticPr fontId="3" type="noConversion"/>
  </si>
  <si>
    <t>생물자원과학부</t>
  </si>
  <si>
    <t>원예·농업자원경제학부</t>
  </si>
  <si>
    <t>지역건설공학과</t>
  </si>
  <si>
    <t>환경융합학부</t>
  </si>
  <si>
    <t>동물생명과학대학</t>
  </si>
  <si>
    <t>동물산업융합학과</t>
  </si>
  <si>
    <t>동물응용과학과</t>
  </si>
  <si>
    <t>동물자원과학과</t>
  </si>
  <si>
    <t>문화예술·공과대학</t>
  </si>
  <si>
    <t>건축학과(5년제)</t>
    <phoneticPr fontId="3" type="noConversion"/>
  </si>
  <si>
    <t>건축·토목·환경공학부</t>
  </si>
  <si>
    <t>배터리융합공학과</t>
  </si>
  <si>
    <t>에너지자원·산업공학부</t>
  </si>
  <si>
    <t>화공·생물공학부</t>
  </si>
  <si>
    <t>디자인학과</t>
  </si>
  <si>
    <t>무용학과</t>
  </si>
  <si>
    <t>미술학과</t>
  </si>
  <si>
    <t>스포츠과학과</t>
  </si>
  <si>
    <t>음악학과</t>
  </si>
  <si>
    <t>영상문화학과</t>
  </si>
  <si>
    <t>사범대학</t>
  </si>
  <si>
    <t>교육학과</t>
  </si>
  <si>
    <t>국어교육과</t>
  </si>
  <si>
    <t>역사교육과</t>
  </si>
  <si>
    <t>영어교육과</t>
  </si>
  <si>
    <t>윤리교육과</t>
  </si>
  <si>
    <t>일반사회교육과</t>
  </si>
  <si>
    <t>지리교육과</t>
  </si>
  <si>
    <t>한문교육과</t>
  </si>
  <si>
    <t>가정교육과</t>
  </si>
  <si>
    <t>과학교육학부</t>
  </si>
  <si>
    <t>수학교육과</t>
  </si>
  <si>
    <t>체육교육과</t>
  </si>
  <si>
    <t>사회과학대학</t>
  </si>
  <si>
    <t>문화인류학과</t>
  </si>
  <si>
    <t>미디어커뮤니케이션학과</t>
  </si>
  <si>
    <t>부동산학과</t>
    <phoneticPr fontId="3" type="noConversion"/>
  </si>
  <si>
    <t>사회학과</t>
    <phoneticPr fontId="3" type="noConversion"/>
  </si>
  <si>
    <t>정치외교학과</t>
    <phoneticPr fontId="3" type="noConversion"/>
  </si>
  <si>
    <t>행정·심리학부</t>
    <phoneticPr fontId="3" type="noConversion"/>
  </si>
  <si>
    <t>산림환경과학대학</t>
  </si>
  <si>
    <t>목재·종이과학부</t>
  </si>
  <si>
    <t>산림과학부</t>
  </si>
  <si>
    <t>생태조경디자인학과</t>
  </si>
  <si>
    <t>수의과대학</t>
  </si>
  <si>
    <t>수의예과</t>
  </si>
  <si>
    <t>의과대학</t>
  </si>
  <si>
    <t>의예과</t>
  </si>
  <si>
    <t>약학대학</t>
  </si>
  <si>
    <t>약학과</t>
  </si>
  <si>
    <t>의생명과학대학</t>
  </si>
  <si>
    <t>분자생명과학과</t>
  </si>
  <si>
    <t>생명건강공학과</t>
  </si>
  <si>
    <t>생물의소재공학과</t>
  </si>
  <si>
    <t>의생명융합학부</t>
  </si>
  <si>
    <t>인문대학</t>
  </si>
  <si>
    <t>인문학부</t>
    <phoneticPr fontId="3" type="noConversion"/>
  </si>
  <si>
    <t>자연과학대학</t>
  </si>
  <si>
    <t>생명과학과</t>
  </si>
  <si>
    <t>수학과</t>
  </si>
  <si>
    <t>지질·지구물리학부</t>
  </si>
  <si>
    <t>화학·생화학부</t>
  </si>
  <si>
    <t>IT대학</t>
  </si>
  <si>
    <t>전기전자공학과</t>
  </si>
  <si>
    <t>전자공학과</t>
  </si>
  <si>
    <t>컴퓨터공학과</t>
  </si>
  <si>
    <t>AI융합학과</t>
  </si>
  <si>
    <t>디지털밀리터리학과</t>
  </si>
  <si>
    <t>소계</t>
    <phoneticPr fontId="3" type="noConversion"/>
  </si>
  <si>
    <t>독립학부</t>
  </si>
  <si>
    <t>자유전공학부(인문계열)</t>
  </si>
  <si>
    <t>자유전공학부(자연계열)</t>
  </si>
  <si>
    <t>합          계</t>
  </si>
  <si>
    <t>미래Ⅰ</t>
    <phoneticPr fontId="3" type="noConversion"/>
  </si>
  <si>
    <t>미래Ⅱ</t>
    <phoneticPr fontId="3" type="noConversion"/>
  </si>
  <si>
    <t>지역인재</t>
    <phoneticPr fontId="3" type="noConversion"/>
  </si>
  <si>
    <t>간호대학 소계</t>
    <phoneticPr fontId="3" type="noConversion"/>
  </si>
  <si>
    <t>경영대학 소계</t>
    <phoneticPr fontId="3" type="noConversion"/>
  </si>
  <si>
    <t>농업생명과학대학 소계</t>
    <phoneticPr fontId="3" type="noConversion"/>
  </si>
  <si>
    <t>동물생명과학대학 소계</t>
    <phoneticPr fontId="3" type="noConversion"/>
  </si>
  <si>
    <t>문화예술·공과대학</t>
    <phoneticPr fontId="3" type="noConversion"/>
  </si>
  <si>
    <t>문화예술·공과대학 소계</t>
    <phoneticPr fontId="3" type="noConversion"/>
  </si>
  <si>
    <t>사범대학 소계</t>
    <phoneticPr fontId="3" type="noConversion"/>
  </si>
  <si>
    <t>사회과학대학 소계</t>
    <phoneticPr fontId="3" type="noConversion"/>
  </si>
  <si>
    <t>산림환경과학대학 소계</t>
    <phoneticPr fontId="3" type="noConversion"/>
  </si>
  <si>
    <t>수의과대학 소계</t>
    <phoneticPr fontId="3" type="noConversion"/>
  </si>
  <si>
    <t>의과대학 소계</t>
    <phoneticPr fontId="3" type="noConversion"/>
  </si>
  <si>
    <t>약학대학 소계</t>
    <phoneticPr fontId="3" type="noConversion"/>
  </si>
  <si>
    <t>의생명과학대학 소계</t>
    <phoneticPr fontId="3" type="noConversion"/>
  </si>
  <si>
    <t>인문대학 소계</t>
    <phoneticPr fontId="3" type="noConversion"/>
  </si>
  <si>
    <t>자연과학대학 소계</t>
    <phoneticPr fontId="3" type="noConversion"/>
  </si>
  <si>
    <t>IT대학 소계</t>
    <phoneticPr fontId="3" type="noConversion"/>
  </si>
  <si>
    <t>독립학부 소계</t>
    <phoneticPr fontId="3" type="noConversion"/>
  </si>
  <si>
    <t>정원외</t>
    <phoneticPr fontId="3" type="noConversion"/>
  </si>
  <si>
    <t>기계의용·메카트로닉스공학과</t>
    <phoneticPr fontId="3" type="noConversion"/>
  </si>
  <si>
    <t>반도체물리학과</t>
    <phoneticPr fontId="3" type="noConversion"/>
  </si>
  <si>
    <t>증감현황</t>
    <phoneticPr fontId="3" type="noConversion"/>
  </si>
  <si>
    <t>증감 반영</t>
    <phoneticPr fontId="3" type="noConversion"/>
  </si>
  <si>
    <t>2023
학년도
이월
인원</t>
    <phoneticPr fontId="3" type="noConversion"/>
  </si>
  <si>
    <t>2025
학년도
입학
정원</t>
    <phoneticPr fontId="3" type="noConversion"/>
  </si>
  <si>
    <t>수용 여부</t>
    <phoneticPr fontId="3" type="noConversion"/>
  </si>
  <si>
    <t>수능
(지역)</t>
    <phoneticPr fontId="3" type="noConversion"/>
  </si>
  <si>
    <t>(교과)
만학도</t>
    <phoneticPr fontId="3" type="noConversion"/>
  </si>
  <si>
    <t>학석사</t>
    <phoneticPr fontId="3" type="noConversion"/>
  </si>
  <si>
    <t>의대 정원</t>
    <phoneticPr fontId="3" type="noConversion"/>
  </si>
  <si>
    <t>스마트팜융합바이오시스템공학과</t>
    <phoneticPr fontId="3" type="noConversion"/>
  </si>
  <si>
    <t>식품생명공학과</t>
    <phoneticPr fontId="3" type="noConversion"/>
  </si>
  <si>
    <t>스마트산업공학과</t>
    <phoneticPr fontId="3" type="noConversion"/>
  </si>
  <si>
    <t>에너지자원공학과</t>
    <phoneticPr fontId="3" type="noConversion"/>
  </si>
  <si>
    <t>2025학년도 대학입학전형시행계획 모집단위별 모집인원 조정(2024.7. 정원외 전형 인원 변경)</t>
    <phoneticPr fontId="3" type="noConversion"/>
  </si>
  <si>
    <t>2025
학년도
선발
인원
(정원내
최종)</t>
    <phoneticPr fontId="3" type="noConversion"/>
  </si>
  <si>
    <t>정원내
선발
검증</t>
    <phoneticPr fontId="3" type="noConversion"/>
  </si>
  <si>
    <t>학석사
통합</t>
    <phoneticPr fontId="3" type="noConversion"/>
  </si>
  <si>
    <t>수능
(지역인재)</t>
    <phoneticPr fontId="3" type="noConversion"/>
  </si>
  <si>
    <t>경영대학 무전공학과</t>
    <phoneticPr fontId="3" type="noConversion"/>
  </si>
  <si>
    <t>생물자원과학부</t>
    <phoneticPr fontId="3" type="noConversion"/>
  </si>
  <si>
    <t>스마트팜융합바이오시스템공학과</t>
    <phoneticPr fontId="3" type="noConversion"/>
  </si>
  <si>
    <t>식품생명공학과</t>
    <phoneticPr fontId="3" type="noConversion"/>
  </si>
  <si>
    <t>농업생명과학대학</t>
    <phoneticPr fontId="3" type="noConversion"/>
  </si>
  <si>
    <t>원예·농업자원경제학부</t>
    <phoneticPr fontId="3" type="noConversion"/>
  </si>
  <si>
    <t>지역건설공학과</t>
    <phoneticPr fontId="3" type="noConversion"/>
  </si>
  <si>
    <t>환경융합학부</t>
    <phoneticPr fontId="3" type="noConversion"/>
  </si>
  <si>
    <t>농업생명과학대학 무전공학과</t>
    <phoneticPr fontId="3" type="noConversion"/>
  </si>
  <si>
    <t>스마트산업공학과</t>
    <phoneticPr fontId="3" type="noConversion"/>
  </si>
  <si>
    <t>에너지자원공학과</t>
    <phoneticPr fontId="3" type="noConversion"/>
  </si>
  <si>
    <t>특성화-1 할것</t>
    <phoneticPr fontId="3" type="noConversion"/>
  </si>
  <si>
    <t>농어촌-1할 것</t>
    <phoneticPr fontId="3" type="noConversion"/>
  </si>
  <si>
    <t>증가</t>
    <phoneticPr fontId="3" type="noConversion"/>
  </si>
  <si>
    <t>2026학년도 대학입학전형 모집단위의 전형 유형별 모집인원(2024학년도 학칙 입학정원 기준)_모집단위 의견 수렴</t>
    <phoneticPr fontId="3" type="noConversion"/>
  </si>
  <si>
    <t>2023
학년도
 입학
정원</t>
    <phoneticPr fontId="3" type="noConversion"/>
  </si>
  <si>
    <t>2024
학년도
입학
정원</t>
    <phoneticPr fontId="3" type="noConversion"/>
  </si>
  <si>
    <t>2024-
2023
정원 차이</t>
    <phoneticPr fontId="3" type="noConversion"/>
  </si>
  <si>
    <t>2024
학년도
이월
인원</t>
    <phoneticPr fontId="3" type="noConversion"/>
  </si>
  <si>
    <r>
      <t xml:space="preserve">2026
학년도 정원내
</t>
    </r>
    <r>
      <rPr>
        <b/>
        <sz val="8"/>
        <color theme="1"/>
        <rFont val="맑은 고딕"/>
        <family val="3"/>
        <charset val="129"/>
        <scheme val="minor"/>
      </rPr>
      <t>(정원+이월)</t>
    </r>
    <phoneticPr fontId="3" type="noConversion"/>
  </si>
  <si>
    <t>2026
학년도
정원내
(검증)</t>
    <phoneticPr fontId="3" type="noConversion"/>
  </si>
  <si>
    <t>일반-2, 지역2, 정시일반-4, 정시지역4</t>
    <phoneticPr fontId="3" type="noConversion"/>
  </si>
  <si>
    <t>수용</t>
    <phoneticPr fontId="3" type="noConversion"/>
  </si>
  <si>
    <t>감축</t>
    <phoneticPr fontId="3" type="noConversion"/>
  </si>
  <si>
    <t>(2025 이월인원) 정시일반(-1)</t>
    <phoneticPr fontId="3" type="noConversion"/>
  </si>
  <si>
    <t>(정원외 신설)만학도8, 재직자-6</t>
    <phoneticPr fontId="3" type="noConversion"/>
  </si>
  <si>
    <t>만학도(정시)9, 재직자-10</t>
    <phoneticPr fontId="3" type="noConversion"/>
  </si>
  <si>
    <t>미래Ⅱ 1, 지역1</t>
    <phoneticPr fontId="3" type="noConversion"/>
  </si>
  <si>
    <t>지역1</t>
    <phoneticPr fontId="3" type="noConversion"/>
  </si>
  <si>
    <t>실기우수자5, 정시실기-7</t>
    <phoneticPr fontId="3" type="noConversion"/>
  </si>
  <si>
    <t>실기우수자-4 정시실기2</t>
    <phoneticPr fontId="3" type="noConversion"/>
  </si>
  <si>
    <t>미래Ⅱ1, 일반1, 지역1, 정시일반-3</t>
    <phoneticPr fontId="3" type="noConversion"/>
  </si>
  <si>
    <t>일반-1, 정시일반1</t>
    <phoneticPr fontId="3" type="noConversion"/>
  </si>
  <si>
    <t>일반-2, 지역2</t>
    <phoneticPr fontId="3" type="noConversion"/>
  </si>
  <si>
    <t xml:space="preserve">정시일반-2, 실기우수-1, 미래Ⅱ2, </t>
    <phoneticPr fontId="3" type="noConversion"/>
  </si>
  <si>
    <t>정시일반-1</t>
    <phoneticPr fontId="3" type="noConversion"/>
  </si>
  <si>
    <t>미래Ⅰ-2, 미래Ⅱ 2</t>
    <phoneticPr fontId="3" type="noConversion"/>
  </si>
  <si>
    <t>미래Ⅰ-3, 미래Ⅱ3</t>
    <phoneticPr fontId="3" type="noConversion"/>
  </si>
  <si>
    <t>일반-1, 정시일반-1, 정시지역2</t>
    <phoneticPr fontId="3" type="noConversion"/>
  </si>
  <si>
    <t>변경X</t>
    <phoneticPr fontId="3" type="noConversion"/>
  </si>
  <si>
    <t xml:space="preserve"> 정시일반-3, 정시지역3</t>
    <phoneticPr fontId="3" type="noConversion"/>
  </si>
  <si>
    <t>정시일반-3, 정시지역3</t>
    <phoneticPr fontId="3" type="noConversion"/>
  </si>
  <si>
    <t>학종지역5, 교과지역-4, 정시일반-1</t>
    <phoneticPr fontId="3" type="noConversion"/>
  </si>
  <si>
    <t>정시일반-2, 농어촌-1(정원 감축 비례)</t>
    <phoneticPr fontId="3" type="noConversion"/>
  </si>
  <si>
    <t>미래Ⅰ2, 미래Ⅱ2, 정시일반-4</t>
    <phoneticPr fontId="3" type="noConversion"/>
  </si>
  <si>
    <t>일반-4, 지역-4, 정시일반-2</t>
    <phoneticPr fontId="3" type="noConversion"/>
  </si>
  <si>
    <t>미래Ⅱ3, 일반-5, 지역-4, 정시일반-4</t>
    <phoneticPr fontId="3" type="noConversion"/>
  </si>
  <si>
    <t>일본학과</t>
    <phoneticPr fontId="3" type="noConversion"/>
  </si>
  <si>
    <t>정원내</t>
    <phoneticPr fontId="3" type="noConversion"/>
  </si>
  <si>
    <t>만학도</t>
    <phoneticPr fontId="3" type="noConversion"/>
  </si>
  <si>
    <t>학생부교과</t>
    <phoneticPr fontId="3" type="noConversion"/>
  </si>
  <si>
    <t>자율화</t>
    <phoneticPr fontId="3" type="noConversion"/>
  </si>
  <si>
    <t>영농
창업
인재</t>
    <phoneticPr fontId="3" type="noConversion"/>
  </si>
  <si>
    <t>다군</t>
    <phoneticPr fontId="3" type="noConversion"/>
  </si>
  <si>
    <t>2027학년도 대학입학전형 모집단위의 전형 유형별 모집인원(2025학년도 학칙(2036호) 입학정원 기준)</t>
    <phoneticPr fontId="3" type="noConversion"/>
  </si>
  <si>
    <t>2025
학년도
이월
인원</t>
    <phoneticPr fontId="3" type="noConversion"/>
  </si>
  <si>
    <t>2027
학년도 정원내
(정원+이월)</t>
    <phoneticPr fontId="3" type="noConversion"/>
  </si>
  <si>
    <t>미래
서류</t>
    <phoneticPr fontId="3" type="noConversion"/>
  </si>
  <si>
    <t>미래
면접</t>
    <phoneticPr fontId="3" type="noConversion"/>
  </si>
  <si>
    <t>실기/실적</t>
    <phoneticPr fontId="3" type="noConversion"/>
  </si>
  <si>
    <t>수능
(강원인재)</t>
    <phoneticPr fontId="3" type="noConversion"/>
  </si>
  <si>
    <t>통합입시 입학
정원표
(2026)</t>
    <phoneticPr fontId="3" type="noConversion"/>
  </si>
  <si>
    <r>
      <t xml:space="preserve">2028
학년도 정원내
</t>
    </r>
    <r>
      <rPr>
        <b/>
        <sz val="8"/>
        <color theme="1"/>
        <rFont val="맑은 고딕"/>
        <family val="3"/>
        <charset val="129"/>
        <scheme val="minor"/>
      </rPr>
      <t>(정원+이월)</t>
    </r>
    <phoneticPr fontId="3" type="noConversion"/>
  </si>
  <si>
    <t>일반</t>
    <phoneticPr fontId="3" type="noConversion"/>
  </si>
  <si>
    <t>강원
인재</t>
    <phoneticPr fontId="3" type="noConversion"/>
  </si>
  <si>
    <t>저소득-
강원
인재</t>
    <phoneticPr fontId="3" type="noConversion"/>
  </si>
  <si>
    <t>일반-
정성</t>
    <phoneticPr fontId="3" type="noConversion"/>
  </si>
  <si>
    <t>강원
인재-
정성</t>
    <phoneticPr fontId="3" type="noConversion"/>
  </si>
  <si>
    <t>사회
배려</t>
    <phoneticPr fontId="3" type="noConversion"/>
  </si>
  <si>
    <t>교과-실기</t>
    <phoneticPr fontId="3" type="noConversion"/>
  </si>
  <si>
    <t>저소득</t>
    <phoneticPr fontId="3" type="noConversion"/>
  </si>
  <si>
    <t>실기/
실적
(일반)</t>
    <phoneticPr fontId="3" type="noConversion"/>
  </si>
  <si>
    <t>경영대학 자유전공학과</t>
    <phoneticPr fontId="3" type="noConversion"/>
  </si>
  <si>
    <t>식품자원경제학과</t>
    <phoneticPr fontId="3" type="noConversion"/>
  </si>
  <si>
    <t>원예학과</t>
    <phoneticPr fontId="3" type="noConversion"/>
  </si>
  <si>
    <t>생명·환경융합학부</t>
    <phoneticPr fontId="3" type="noConversion"/>
  </si>
  <si>
    <t>농업생명과학대학 자유전공학과</t>
    <phoneticPr fontId="3" type="noConversion"/>
  </si>
  <si>
    <t>동물생명과학대학 자유전공학과</t>
    <phoneticPr fontId="3" type="noConversion"/>
  </si>
  <si>
    <t>건축공학과</t>
    <phoneticPr fontId="3" type="noConversion"/>
  </si>
  <si>
    <t>토목공학과</t>
    <phoneticPr fontId="3" type="noConversion"/>
  </si>
  <si>
    <t>환경공학과</t>
    <phoneticPr fontId="3" type="noConversion"/>
  </si>
  <si>
    <t>기계융합공학부</t>
    <phoneticPr fontId="3" type="noConversion"/>
  </si>
  <si>
    <t>문화예술·공과대학 자유전공학과</t>
    <phoneticPr fontId="3" type="noConversion"/>
  </si>
  <si>
    <t>심리학과</t>
    <phoneticPr fontId="3" type="noConversion"/>
  </si>
  <si>
    <t>행정학과</t>
    <phoneticPr fontId="3" type="noConversion"/>
  </si>
  <si>
    <t>사회과학대학 자유전공학과</t>
    <phoneticPr fontId="3" type="noConversion"/>
  </si>
  <si>
    <t>산림바이오소재공학과</t>
    <phoneticPr fontId="3" type="noConversion"/>
  </si>
  <si>
    <t>펄프제지공학과</t>
    <phoneticPr fontId="3" type="noConversion"/>
  </si>
  <si>
    <t>산림경영학과</t>
    <phoneticPr fontId="3" type="noConversion"/>
  </si>
  <si>
    <t>산림자원학과</t>
    <phoneticPr fontId="3" type="noConversion"/>
  </si>
  <si>
    <t>산림환경보호학과</t>
    <phoneticPr fontId="3" type="noConversion"/>
  </si>
  <si>
    <t>산림환경과학대학 자유전공학과</t>
    <phoneticPr fontId="3" type="noConversion"/>
  </si>
  <si>
    <t>수의학과</t>
    <phoneticPr fontId="3" type="noConversion"/>
  </si>
  <si>
    <t>의생명시스템과학과</t>
    <phoneticPr fontId="3" type="noConversion"/>
  </si>
  <si>
    <t>의생명공학과</t>
    <phoneticPr fontId="3" type="noConversion"/>
  </si>
  <si>
    <t>의생명과학대학 자유전공학과</t>
    <phoneticPr fontId="3" type="noConversion"/>
  </si>
  <si>
    <t>국어국문학과</t>
    <phoneticPr fontId="3" type="noConversion"/>
  </si>
  <si>
    <t>독어독문학과</t>
    <phoneticPr fontId="3" type="noConversion"/>
  </si>
  <si>
    <t>불어불문학과</t>
    <phoneticPr fontId="3" type="noConversion"/>
  </si>
  <si>
    <t>사학과</t>
    <phoneticPr fontId="3" type="noConversion"/>
  </si>
  <si>
    <t>영어영문학과</t>
    <phoneticPr fontId="3" type="noConversion"/>
  </si>
  <si>
    <t>중어중문학과</t>
    <phoneticPr fontId="3" type="noConversion"/>
  </si>
  <si>
    <t>철학과</t>
    <phoneticPr fontId="3" type="noConversion"/>
  </si>
  <si>
    <t>인문대학 자유전공학과</t>
    <phoneticPr fontId="3" type="noConversion"/>
  </si>
  <si>
    <t>자연과학대학 자유전공학과</t>
    <phoneticPr fontId="3" type="noConversion"/>
  </si>
  <si>
    <t>글로벌미래융합대학 소계</t>
    <phoneticPr fontId="3" type="noConversion"/>
  </si>
  <si>
    <t xml:space="preserve">2026학년도이월인원
</t>
    <phoneticPr fontId="3" type="noConversion"/>
  </si>
  <si>
    <t>2028학년도 대학입학전형 모집단위별 모집인원</t>
    <phoneticPr fontId="3" type="noConversion"/>
  </si>
  <si>
    <t>지역의사선발-정성
(춘천)</t>
    <phoneticPr fontId="3" type="noConversion"/>
  </si>
  <si>
    <t>지역의사선발-정성
(원주)</t>
    <phoneticPr fontId="3" type="noConversion"/>
  </si>
  <si>
    <t>지역의사선발-정성
(영월)</t>
    <phoneticPr fontId="3" type="noConversion"/>
  </si>
  <si>
    <t>지역의사선발-정성
(강릉)</t>
    <phoneticPr fontId="3" type="noConversion"/>
  </si>
  <si>
    <t>지역의사선발-정성
(동해)</t>
    <phoneticPr fontId="3" type="noConversion"/>
  </si>
  <si>
    <t>지역의사선발-정성
(속초)</t>
    <phoneticPr fontId="3" type="noConversion"/>
  </si>
  <si>
    <t>지역의사선발-정성
(광역)</t>
    <phoneticPr fontId="3" type="noConversion"/>
  </si>
  <si>
    <t>체육
특기자
(개인)</t>
    <phoneticPr fontId="3" type="noConversion"/>
  </si>
  <si>
    <t>글로벌미래융합대학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</si>
</sst>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0.0_);[Red]\(0.0\)"/>
    <numFmt numFmtId="177" formatCode="0.0%"/>
    <numFmt numFmtId="178" formatCode="0_);[Red]\(0\)"/>
    <numFmt numFmtId="179" formatCode="#,##0_);[Red]\(#,##0\)"/>
    <numFmt numFmtId="180" formatCode="#,##0.0_);[Red]\(#,##0.0\)"/>
    <numFmt numFmtId="181" formatCode="0.0_ 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66FF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9C0006"/>
      <name val="맑은 고딕"/>
      <family val="3"/>
      <charset val="129"/>
    </font>
    <font>
      <b/>
      <sz val="11"/>
      <color rgb="FF0066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/>
    <xf numFmtId="41" fontId="13" fillId="0" borderId="0">
      <alignment vertical="center"/>
    </xf>
    <xf numFmtId="41" fontId="14" fillId="0" borderId="0">
      <alignment vertical="center"/>
    </xf>
    <xf numFmtId="0" fontId="15" fillId="11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39">
    <xf numFmtId="0" fontId="0" fillId="0" borderId="0" xfId="0">
      <alignment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shrinkToFit="1"/>
    </xf>
    <xf numFmtId="0" fontId="0" fillId="0" borderId="11" xfId="0" applyBorder="1" applyAlignment="1">
      <alignment vertical="center" shrinkToFit="1"/>
    </xf>
    <xf numFmtId="0" fontId="0" fillId="0" borderId="0" xfId="0" applyFill="1" applyAlignment="1">
      <alignment vertical="center" shrinkToFit="1"/>
    </xf>
    <xf numFmtId="0" fontId="12" fillId="0" borderId="11" xfId="0" applyFont="1" applyBorder="1" applyAlignment="1">
      <alignment vertical="center" shrinkToFit="1"/>
    </xf>
    <xf numFmtId="0" fontId="4" fillId="3" borderId="11" xfId="0" applyFont="1" applyFill="1" applyBorder="1" applyAlignment="1">
      <alignment vertical="center"/>
    </xf>
    <xf numFmtId="0" fontId="8" fillId="0" borderId="11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 shrinkToFit="1"/>
    </xf>
    <xf numFmtId="0" fontId="11" fillId="5" borderId="16" xfId="0" applyFont="1" applyFill="1" applyBorder="1" applyAlignment="1">
      <alignment horizontal="center"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 applyAlignment="1">
      <alignment vertical="center" shrinkToFit="1"/>
    </xf>
    <xf numFmtId="0" fontId="8" fillId="13" borderId="4" xfId="0" applyFont="1" applyFill="1" applyBorder="1">
      <alignment vertical="center"/>
    </xf>
    <xf numFmtId="0" fontId="6" fillId="0" borderId="6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6" fillId="0" borderId="8" xfId="0" applyFont="1" applyFill="1" applyBorder="1">
      <alignment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17" fillId="13" borderId="20" xfId="0" applyFont="1" applyFill="1" applyBorder="1" applyAlignment="1">
      <alignment vertical="center" shrinkToFit="1"/>
    </xf>
    <xf numFmtId="0" fontId="4" fillId="3" borderId="21" xfId="0" applyFont="1" applyFill="1" applyBorder="1" applyAlignment="1">
      <alignment vertical="center" shrinkToFit="1"/>
    </xf>
    <xf numFmtId="0" fontId="4" fillId="3" borderId="22" xfId="0" applyFont="1" applyFill="1" applyBorder="1" applyAlignment="1">
      <alignment vertical="center" shrinkToFit="1"/>
    </xf>
    <xf numFmtId="0" fontId="4" fillId="3" borderId="3" xfId="0" applyFont="1" applyFill="1" applyBorder="1" applyAlignment="1">
      <alignment vertical="center" shrinkToFit="1"/>
    </xf>
    <xf numFmtId="0" fontId="0" fillId="3" borderId="0" xfId="0" applyFill="1">
      <alignment vertical="center"/>
    </xf>
    <xf numFmtId="0" fontId="6" fillId="0" borderId="5" xfId="0" applyFont="1" applyFill="1" applyBorder="1" applyAlignment="1">
      <alignment horizontal="left" vertical="center" shrinkToFit="1"/>
    </xf>
    <xf numFmtId="0" fontId="8" fillId="0" borderId="6" xfId="0" applyFont="1" applyFill="1" applyBorder="1">
      <alignment vertical="center"/>
    </xf>
    <xf numFmtId="0" fontId="8" fillId="0" borderId="6" xfId="0" applyFont="1" applyFill="1" applyBorder="1" applyAlignment="1">
      <alignment horizontal="center" vertical="center"/>
    </xf>
    <xf numFmtId="0" fontId="17" fillId="0" borderId="6" xfId="0" applyFont="1" applyFill="1" applyBorder="1">
      <alignment vertical="center"/>
    </xf>
    <xf numFmtId="0" fontId="17" fillId="0" borderId="7" xfId="0" applyFont="1" applyFill="1" applyBorder="1">
      <alignment vertical="center"/>
    </xf>
    <xf numFmtId="0" fontId="6" fillId="0" borderId="9" xfId="0" applyFont="1" applyFill="1" applyBorder="1">
      <alignment vertical="center"/>
    </xf>
    <xf numFmtId="0" fontId="6" fillId="0" borderId="10" xfId="0" applyFont="1" applyFill="1" applyBorder="1" applyAlignment="1">
      <alignment horizontal="left" vertical="center" shrinkToFit="1"/>
    </xf>
    <xf numFmtId="0" fontId="8" fillId="13" borderId="9" xfId="0" applyFont="1" applyFill="1" applyBorder="1">
      <alignment vertical="center"/>
    </xf>
    <xf numFmtId="0" fontId="6" fillId="0" borderId="11" xfId="0" applyFont="1" applyFill="1" applyBorder="1">
      <alignment vertical="center"/>
    </xf>
    <xf numFmtId="0" fontId="6" fillId="0" borderId="12" xfId="0" applyFont="1" applyFill="1" applyBorder="1">
      <alignment vertical="center"/>
    </xf>
    <xf numFmtId="0" fontId="6" fillId="0" borderId="13" xfId="0" applyFont="1" applyFill="1" applyBorder="1">
      <alignment vertical="center"/>
    </xf>
    <xf numFmtId="0" fontId="8" fillId="0" borderId="11" xfId="0" applyFont="1" applyFill="1" applyBorder="1">
      <alignment vertical="center"/>
    </xf>
    <xf numFmtId="0" fontId="4" fillId="0" borderId="11" xfId="0" applyFont="1" applyFill="1" applyBorder="1">
      <alignment vertical="center"/>
    </xf>
    <xf numFmtId="0" fontId="8" fillId="0" borderId="11" xfId="0" applyFont="1" applyFill="1" applyBorder="1" applyAlignment="1">
      <alignment horizontal="center" vertical="center"/>
    </xf>
    <xf numFmtId="0" fontId="17" fillId="0" borderId="11" xfId="0" applyFont="1" applyFill="1" applyBorder="1">
      <alignment vertical="center"/>
    </xf>
    <xf numFmtId="0" fontId="17" fillId="0" borderId="12" xfId="0" applyFont="1" applyFill="1" applyBorder="1">
      <alignment vertical="center"/>
    </xf>
    <xf numFmtId="0" fontId="8" fillId="0" borderId="9" xfId="0" applyFont="1" applyFill="1" applyBorder="1">
      <alignment vertical="center"/>
    </xf>
    <xf numFmtId="0" fontId="8" fillId="0" borderId="10" xfId="0" applyFont="1" applyFill="1" applyBorder="1" applyAlignment="1">
      <alignment horizontal="left" vertical="center"/>
    </xf>
    <xf numFmtId="0" fontId="8" fillId="13" borderId="9" xfId="0" applyFont="1" applyFill="1" applyBorder="1" applyAlignment="1">
      <alignment vertical="center" shrinkToFit="1"/>
    </xf>
    <xf numFmtId="0" fontId="6" fillId="0" borderId="11" xfId="0" applyFont="1" applyFill="1" applyBorder="1" applyAlignment="1">
      <alignment vertical="center" shrinkToFit="1"/>
    </xf>
    <xf numFmtId="0" fontId="6" fillId="0" borderId="12" xfId="0" applyFont="1" applyFill="1" applyBorder="1" applyAlignment="1">
      <alignment vertical="center" shrinkToFit="1"/>
    </xf>
    <xf numFmtId="0" fontId="6" fillId="0" borderId="13" xfId="0" applyFont="1" applyFill="1" applyBorder="1" applyAlignment="1">
      <alignment vertical="center" shrinkToFit="1"/>
    </xf>
    <xf numFmtId="0" fontId="8" fillId="0" borderId="11" xfId="0" applyFont="1" applyFill="1" applyBorder="1" applyAlignment="1">
      <alignment vertical="center" shrinkToFit="1"/>
    </xf>
    <xf numFmtId="0" fontId="17" fillId="0" borderId="11" xfId="0" applyFont="1" applyFill="1" applyBorder="1" applyAlignment="1">
      <alignment vertical="center" shrinkToFit="1"/>
    </xf>
    <xf numFmtId="0" fontId="17" fillId="0" borderId="12" xfId="0" applyFont="1" applyFill="1" applyBorder="1" applyAlignment="1">
      <alignment vertical="center" shrinkToFit="1"/>
    </xf>
    <xf numFmtId="0" fontId="6" fillId="0" borderId="0" xfId="0" applyFont="1" applyFill="1">
      <alignment vertical="center"/>
    </xf>
    <xf numFmtId="0" fontId="8" fillId="0" borderId="10" xfId="0" applyFont="1" applyFill="1" applyBorder="1" applyAlignment="1">
      <alignment horizontal="left" vertical="center" shrinkToFit="1"/>
    </xf>
    <xf numFmtId="0" fontId="8" fillId="0" borderId="13" xfId="0" applyFont="1" applyFill="1" applyBorder="1">
      <alignment vertical="center"/>
    </xf>
    <xf numFmtId="0" fontId="9" fillId="4" borderId="11" xfId="0" applyFont="1" applyFill="1" applyBorder="1">
      <alignment vertical="center"/>
    </xf>
    <xf numFmtId="0" fontId="6" fillId="0" borderId="10" xfId="0" applyFont="1" applyFill="1" applyBorder="1" applyAlignment="1">
      <alignment vertical="center" shrinkToFit="1"/>
    </xf>
    <xf numFmtId="0" fontId="4" fillId="0" borderId="12" xfId="0" applyFont="1" applyFill="1" applyBorder="1">
      <alignment vertical="center"/>
    </xf>
    <xf numFmtId="0" fontId="8" fillId="0" borderId="10" xfId="0" applyFont="1" applyFill="1" applyBorder="1" applyAlignment="1">
      <alignment vertical="center" shrinkToFit="1"/>
    </xf>
    <xf numFmtId="0" fontId="6" fillId="0" borderId="6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8" fillId="0" borderId="4" xfId="0" applyFont="1" applyFill="1" applyBorder="1">
      <alignment vertical="center"/>
    </xf>
    <xf numFmtId="0" fontId="8" fillId="0" borderId="5" xfId="0" applyFont="1" applyFill="1" applyBorder="1" applyAlignment="1">
      <alignment vertical="center" shrinkToFit="1"/>
    </xf>
    <xf numFmtId="0" fontId="9" fillId="4" borderId="6" xfId="0" applyFont="1" applyFill="1" applyBorder="1">
      <alignment vertical="center"/>
    </xf>
    <xf numFmtId="0" fontId="8" fillId="0" borderId="23" xfId="0" applyFont="1" applyFill="1" applyBorder="1">
      <alignment vertical="center"/>
    </xf>
    <xf numFmtId="0" fontId="8" fillId="0" borderId="24" xfId="0" applyFont="1" applyFill="1" applyBorder="1" applyAlignment="1">
      <alignment vertical="center" shrinkToFit="1"/>
    </xf>
    <xf numFmtId="0" fontId="8" fillId="13" borderId="23" xfId="0" applyFont="1" applyFill="1" applyBorder="1">
      <alignment vertical="center"/>
    </xf>
    <xf numFmtId="0" fontId="6" fillId="0" borderId="25" xfId="0" applyFont="1" applyFill="1" applyBorder="1">
      <alignment vertical="center"/>
    </xf>
    <xf numFmtId="0" fontId="6" fillId="0" borderId="26" xfId="0" applyFont="1" applyFill="1" applyBorder="1">
      <alignment vertical="center"/>
    </xf>
    <xf numFmtId="0" fontId="6" fillId="0" borderId="27" xfId="0" applyFont="1" applyFill="1" applyBorder="1">
      <alignment vertical="center"/>
    </xf>
    <xf numFmtId="0" fontId="8" fillId="0" borderId="25" xfId="0" applyFont="1" applyFill="1" applyBorder="1">
      <alignment vertical="center"/>
    </xf>
    <xf numFmtId="0" fontId="17" fillId="0" borderId="25" xfId="0" applyFont="1" applyFill="1" applyBorder="1">
      <alignment vertical="center"/>
    </xf>
    <xf numFmtId="0" fontId="8" fillId="0" borderId="25" xfId="0" applyFont="1" applyFill="1" applyBorder="1" applyAlignment="1">
      <alignment horizontal="center" vertical="center"/>
    </xf>
    <xf numFmtId="0" fontId="17" fillId="0" borderId="26" xfId="0" applyFont="1" applyFill="1" applyBorder="1">
      <alignment vertical="center"/>
    </xf>
    <xf numFmtId="41" fontId="17" fillId="13" borderId="32" xfId="1" applyFont="1" applyFill="1" applyBorder="1" applyAlignment="1">
      <alignment vertical="center" shrinkToFit="1"/>
    </xf>
    <xf numFmtId="41" fontId="16" fillId="14" borderId="33" xfId="1" applyFont="1" applyFill="1" applyBorder="1" applyAlignment="1">
      <alignment vertical="center" shrinkToFit="1"/>
    </xf>
    <xf numFmtId="41" fontId="16" fillId="14" borderId="35" xfId="1" applyFont="1" applyFill="1" applyBorder="1" applyAlignment="1">
      <alignment vertical="center" shrinkToFit="1"/>
    </xf>
    <xf numFmtId="41" fontId="4" fillId="5" borderId="27" xfId="1" applyFont="1" applyFill="1" applyBorder="1" applyAlignment="1">
      <alignment vertical="center" shrinkToFit="1"/>
    </xf>
    <xf numFmtId="41" fontId="4" fillId="5" borderId="25" xfId="1" applyFont="1" applyFill="1" applyBorder="1" applyAlignment="1">
      <alignment vertical="center" shrinkToFit="1"/>
    </xf>
    <xf numFmtId="41" fontId="16" fillId="5" borderId="25" xfId="1" applyFont="1" applyFill="1" applyBorder="1" applyAlignment="1">
      <alignment vertical="center" shrinkToFit="1"/>
    </xf>
    <xf numFmtId="41" fontId="10" fillId="10" borderId="25" xfId="1" applyFont="1" applyFill="1" applyBorder="1" applyAlignment="1">
      <alignment vertical="center" shrinkToFit="1"/>
    </xf>
    <xf numFmtId="41" fontId="4" fillId="10" borderId="25" xfId="1" applyFont="1" applyFill="1" applyBorder="1" applyAlignment="1">
      <alignment vertical="center" shrinkToFit="1"/>
    </xf>
    <xf numFmtId="41" fontId="17" fillId="13" borderId="29" xfId="1" applyFont="1" applyFill="1" applyBorder="1" applyAlignment="1">
      <alignment vertical="center" shrinkToFit="1"/>
    </xf>
    <xf numFmtId="41" fontId="16" fillId="14" borderId="30" xfId="1" applyFont="1" applyFill="1" applyBorder="1" applyAlignment="1">
      <alignment vertical="center" shrinkToFit="1"/>
    </xf>
    <xf numFmtId="41" fontId="16" fillId="14" borderId="31" xfId="1" applyFont="1" applyFill="1" applyBorder="1" applyAlignment="1">
      <alignment vertical="center" shrinkToFit="1"/>
    </xf>
    <xf numFmtId="41" fontId="4" fillId="5" borderId="13" xfId="1" applyFont="1" applyFill="1" applyBorder="1" applyAlignment="1">
      <alignment vertical="center"/>
    </xf>
    <xf numFmtId="176" fontId="4" fillId="5" borderId="11" xfId="0" applyNumberFormat="1" applyFont="1" applyFill="1" applyBorder="1">
      <alignment vertical="center"/>
    </xf>
    <xf numFmtId="0" fontId="18" fillId="0" borderId="11" xfId="0" applyFont="1" applyBorder="1" applyAlignment="1">
      <alignment horizontal="left" vertical="center" shrinkToFit="1"/>
    </xf>
    <xf numFmtId="0" fontId="18" fillId="0" borderId="11" xfId="0" applyFont="1" applyBorder="1" applyAlignment="1">
      <alignment horizontal="center" vertical="center" shrinkToFit="1"/>
    </xf>
    <xf numFmtId="0" fontId="19" fillId="5" borderId="11" xfId="0" applyFont="1" applyFill="1" applyBorder="1" applyAlignment="1">
      <alignment horizontal="left" vertical="center"/>
    </xf>
    <xf numFmtId="0" fontId="19" fillId="5" borderId="11" xfId="0" applyFont="1" applyFill="1" applyBorder="1" applyAlignment="1">
      <alignment horizontal="center" vertical="center"/>
    </xf>
    <xf numFmtId="41" fontId="17" fillId="5" borderId="11" xfId="1" applyFont="1" applyFill="1" applyBorder="1" applyAlignment="1">
      <alignment horizontal="right" vertical="center"/>
    </xf>
    <xf numFmtId="41" fontId="17" fillId="5" borderId="11" xfId="1" applyFont="1" applyFill="1" applyBorder="1" applyAlignment="1">
      <alignment horizontal="right" vertical="center" shrinkToFit="1"/>
    </xf>
    <xf numFmtId="41" fontId="17" fillId="6" borderId="11" xfId="1" applyFont="1" applyFill="1" applyBorder="1" applyAlignment="1">
      <alignment horizontal="right" vertical="center" shrinkToFit="1"/>
    </xf>
    <xf numFmtId="41" fontId="17" fillId="4" borderId="11" xfId="1" applyFont="1" applyFill="1" applyBorder="1" applyAlignment="1">
      <alignment horizontal="right" vertical="center" shrinkToFit="1"/>
    </xf>
    <xf numFmtId="41" fontId="17" fillId="12" borderId="11" xfId="1" applyFont="1" applyFill="1" applyBorder="1" applyAlignment="1">
      <alignment horizontal="right" vertical="center" shrinkToFit="1"/>
    </xf>
    <xf numFmtId="41" fontId="17" fillId="4" borderId="12" xfId="1" applyFont="1" applyFill="1" applyBorder="1" applyAlignment="1">
      <alignment horizontal="right" vertical="center" shrinkToFit="1"/>
    </xf>
    <xf numFmtId="176" fontId="8" fillId="5" borderId="21" xfId="0" applyNumberFormat="1" applyFont="1" applyFill="1" applyBorder="1" applyAlignment="1">
      <alignment horizontal="right" vertical="center"/>
    </xf>
    <xf numFmtId="176" fontId="8" fillId="12" borderId="21" xfId="0" applyNumberFormat="1" applyFont="1" applyFill="1" applyBorder="1" applyAlignment="1">
      <alignment horizontal="right" vertical="center"/>
    </xf>
    <xf numFmtId="176" fontId="8" fillId="5" borderId="22" xfId="0" applyNumberFormat="1" applyFont="1" applyFill="1" applyBorder="1" applyAlignment="1">
      <alignment horizontal="right" vertical="center"/>
    </xf>
    <xf numFmtId="0" fontId="18" fillId="0" borderId="11" xfId="0" applyFont="1" applyFill="1" applyBorder="1" applyAlignment="1">
      <alignment horizontal="center" vertical="center" shrinkToFit="1"/>
    </xf>
    <xf numFmtId="0" fontId="5" fillId="2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4" fillId="3" borderId="9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left" vertical="center" shrinkToFit="1"/>
    </xf>
    <xf numFmtId="0" fontId="12" fillId="0" borderId="11" xfId="0" applyFont="1" applyBorder="1" applyAlignment="1">
      <alignment horizontal="right" vertical="center" shrinkToFit="1"/>
    </xf>
    <xf numFmtId="0" fontId="12" fillId="9" borderId="11" xfId="0" applyFont="1" applyFill="1" applyBorder="1" applyAlignment="1">
      <alignment horizontal="right" vertical="center" shrinkToFit="1"/>
    </xf>
    <xf numFmtId="0" fontId="12" fillId="0" borderId="11" xfId="0" applyFont="1" applyBorder="1" applyAlignment="1">
      <alignment horizontal="center" vertical="center" shrinkToFit="1"/>
    </xf>
    <xf numFmtId="0" fontId="18" fillId="4" borderId="11" xfId="0" applyFont="1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/>
    </xf>
    <xf numFmtId="0" fontId="17" fillId="8" borderId="11" xfId="0" applyFont="1" applyFill="1" applyBorder="1" applyAlignment="1">
      <alignment horizontal="right" vertical="center"/>
    </xf>
    <xf numFmtId="0" fontId="17" fillId="8" borderId="12" xfId="0" applyFont="1" applyFill="1" applyBorder="1" applyAlignment="1">
      <alignment horizontal="right" vertical="center"/>
    </xf>
    <xf numFmtId="0" fontId="17" fillId="3" borderId="11" xfId="0" applyFont="1" applyFill="1" applyBorder="1" applyAlignment="1">
      <alignment horizontal="right" vertical="center"/>
    </xf>
    <xf numFmtId="0" fontId="17" fillId="9" borderId="11" xfId="0" applyFont="1" applyFill="1" applyBorder="1" applyAlignment="1">
      <alignment horizontal="right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right" vertical="center"/>
    </xf>
    <xf numFmtId="0" fontId="18" fillId="4" borderId="11" xfId="0" applyFont="1" applyFill="1" applyBorder="1" applyAlignment="1">
      <alignment horizontal="left" vertical="center" shrinkToFit="1"/>
    </xf>
    <xf numFmtId="0" fontId="17" fillId="0" borderId="11" xfId="0" applyFont="1" applyFill="1" applyBorder="1" applyAlignment="1">
      <alignment horizontal="right" vertical="center"/>
    </xf>
    <xf numFmtId="0" fontId="18" fillId="9" borderId="11" xfId="0" applyFont="1" applyFill="1" applyBorder="1" applyAlignment="1">
      <alignment horizontal="center" vertical="center" shrinkToFit="1"/>
    </xf>
    <xf numFmtId="0" fontId="8" fillId="4" borderId="11" xfId="0" applyFont="1" applyFill="1" applyBorder="1" applyAlignment="1">
      <alignment horizontal="right" vertical="center" shrinkToFit="1"/>
    </xf>
    <xf numFmtId="0" fontId="8" fillId="0" borderId="11" xfId="0" applyFont="1" applyBorder="1" applyAlignment="1">
      <alignment horizontal="right" vertical="center" shrinkToFit="1"/>
    </xf>
    <xf numFmtId="0" fontId="18" fillId="6" borderId="11" xfId="0" applyFont="1" applyFill="1" applyBorder="1" applyAlignment="1">
      <alignment horizontal="center" vertical="center" shrinkToFit="1"/>
    </xf>
    <xf numFmtId="0" fontId="18" fillId="10" borderId="11" xfId="0" applyFont="1" applyFill="1" applyBorder="1" applyAlignment="1">
      <alignment horizontal="center" vertical="center" shrinkToFit="1"/>
    </xf>
    <xf numFmtId="41" fontId="17" fillId="9" borderId="11" xfId="1" applyFont="1" applyFill="1" applyBorder="1" applyAlignment="1">
      <alignment horizontal="right" vertical="center"/>
    </xf>
    <xf numFmtId="0" fontId="17" fillId="5" borderId="11" xfId="0" applyFont="1" applyFill="1" applyBorder="1" applyAlignment="1">
      <alignment horizontal="right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right" vertical="center"/>
    </xf>
    <xf numFmtId="0" fontId="17" fillId="9" borderId="21" xfId="0" applyFont="1" applyFill="1" applyBorder="1" applyAlignment="1">
      <alignment horizontal="right" vertical="center"/>
    </xf>
    <xf numFmtId="0" fontId="17" fillId="5" borderId="21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left" vertical="center"/>
    </xf>
    <xf numFmtId="0" fontId="19" fillId="5" borderId="21" xfId="0" applyFont="1" applyFill="1" applyBorder="1" applyAlignment="1">
      <alignment horizontal="center" vertical="center"/>
    </xf>
    <xf numFmtId="41" fontId="17" fillId="5" borderId="21" xfId="1" applyFont="1" applyFill="1" applyBorder="1" applyAlignment="1">
      <alignment horizontal="right" vertical="center"/>
    </xf>
    <xf numFmtId="41" fontId="8" fillId="5" borderId="21" xfId="1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right" vertical="center"/>
    </xf>
    <xf numFmtId="0" fontId="17" fillId="3" borderId="10" xfId="0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 shrinkToFit="1"/>
    </xf>
    <xf numFmtId="0" fontId="21" fillId="0" borderId="0" xfId="0" applyFo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right" vertical="center" shrinkToFit="1"/>
    </xf>
    <xf numFmtId="0" fontId="12" fillId="0" borderId="11" xfId="0" applyFont="1" applyFill="1" applyBorder="1" applyAlignment="1">
      <alignment horizontal="right" vertical="center"/>
    </xf>
    <xf numFmtId="0" fontId="12" fillId="0" borderId="11" xfId="0" applyFont="1" applyBorder="1" applyAlignment="1">
      <alignment horizontal="right" vertical="center"/>
    </xf>
    <xf numFmtId="0" fontId="22" fillId="8" borderId="11" xfId="0" applyFont="1" applyFill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0" fontId="22" fillId="8" borderId="12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right" vertical="center"/>
    </xf>
    <xf numFmtId="0" fontId="22" fillId="3" borderId="11" xfId="0" applyFont="1" applyFill="1" applyBorder="1" applyAlignment="1">
      <alignment horizontal="right" vertical="center"/>
    </xf>
    <xf numFmtId="0" fontId="22" fillId="3" borderId="10" xfId="0" applyFont="1" applyFill="1" applyBorder="1" applyAlignment="1">
      <alignment horizontal="right" vertical="center"/>
    </xf>
    <xf numFmtId="0" fontId="22" fillId="3" borderId="9" xfId="0" applyFont="1" applyFill="1" applyBorder="1" applyAlignment="1">
      <alignment horizontal="right" vertical="center"/>
    </xf>
    <xf numFmtId="0" fontId="22" fillId="3" borderId="12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>
      <alignment vertical="center"/>
    </xf>
    <xf numFmtId="0" fontId="22" fillId="0" borderId="11" xfId="0" applyFont="1" applyFill="1" applyBorder="1" applyAlignment="1">
      <alignment horizontal="righ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 shrinkToFit="1"/>
    </xf>
    <xf numFmtId="0" fontId="12" fillId="0" borderId="11" xfId="0" applyFont="1" applyBorder="1" applyAlignment="1">
      <alignment horizontal="center" vertical="center"/>
    </xf>
    <xf numFmtId="0" fontId="17" fillId="3" borderId="9" xfId="0" applyFont="1" applyFill="1" applyBorder="1" applyAlignment="1">
      <alignment horizontal="right" vertical="center"/>
    </xf>
    <xf numFmtId="41" fontId="4" fillId="5" borderId="11" xfId="1" applyFont="1" applyFill="1" applyBorder="1" applyAlignment="1">
      <alignment horizontal="right" vertical="center"/>
    </xf>
    <xf numFmtId="41" fontId="17" fillId="5" borderId="10" xfId="1" applyFont="1" applyFill="1" applyBorder="1" applyAlignment="1">
      <alignment horizontal="right" vertical="center" shrinkToFit="1"/>
    </xf>
    <xf numFmtId="41" fontId="17" fillId="5" borderId="9" xfId="1" applyFont="1" applyFill="1" applyBorder="1" applyAlignment="1">
      <alignment horizontal="right" vertical="center" shrinkToFit="1"/>
    </xf>
    <xf numFmtId="41" fontId="17" fillId="5" borderId="12" xfId="1" applyFont="1" applyFill="1" applyBorder="1" applyAlignment="1">
      <alignment horizontal="right" vertical="center" shrinkToFit="1"/>
    </xf>
    <xf numFmtId="0" fontId="4" fillId="5" borderId="21" xfId="0" applyFont="1" applyFill="1" applyBorder="1" applyAlignment="1">
      <alignment horizontal="right" vertical="center"/>
    </xf>
    <xf numFmtId="176" fontId="23" fillId="5" borderId="2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176" fontId="8" fillId="5" borderId="20" xfId="0" applyNumberFormat="1" applyFont="1" applyFill="1" applyBorder="1" applyAlignment="1">
      <alignment horizontal="right" vertical="center"/>
    </xf>
    <xf numFmtId="176" fontId="23" fillId="5" borderId="22" xfId="0" applyNumberFormat="1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78" fontId="8" fillId="0" borderId="11" xfId="0" applyNumberFormat="1" applyFont="1" applyFill="1" applyBorder="1" applyAlignment="1">
      <alignment horizontal="right" vertical="center"/>
    </xf>
    <xf numFmtId="179" fontId="8" fillId="0" borderId="11" xfId="0" applyNumberFormat="1" applyFont="1" applyFill="1" applyBorder="1" applyAlignment="1">
      <alignment horizontal="right" vertical="center"/>
    </xf>
    <xf numFmtId="179" fontId="8" fillId="0" borderId="11" xfId="0" applyNumberFormat="1" applyFont="1" applyBorder="1" applyAlignment="1">
      <alignment horizontal="right" vertical="center"/>
    </xf>
    <xf numFmtId="179" fontId="17" fillId="8" borderId="11" xfId="0" applyNumberFormat="1" applyFont="1" applyFill="1" applyBorder="1" applyAlignment="1">
      <alignment horizontal="right" vertical="center"/>
    </xf>
    <xf numFmtId="179" fontId="8" fillId="0" borderId="10" xfId="0" applyNumberFormat="1" applyFont="1" applyFill="1" applyBorder="1" applyAlignment="1">
      <alignment horizontal="right" vertical="center"/>
    </xf>
    <xf numFmtId="179" fontId="8" fillId="0" borderId="44" xfId="0" applyNumberFormat="1" applyFont="1" applyFill="1" applyBorder="1" applyAlignment="1">
      <alignment horizontal="right" vertical="center"/>
    </xf>
    <xf numFmtId="179" fontId="17" fillId="0" borderId="11" xfId="0" applyNumberFormat="1" applyFont="1" applyFill="1" applyBorder="1" applyAlignment="1">
      <alignment horizontal="right" vertical="center"/>
    </xf>
    <xf numFmtId="0" fontId="17" fillId="3" borderId="21" xfId="0" applyFont="1" applyFill="1" applyBorder="1" applyAlignment="1">
      <alignment vertical="center"/>
    </xf>
    <xf numFmtId="178" fontId="17" fillId="3" borderId="21" xfId="0" applyNumberFormat="1" applyFont="1" applyFill="1" applyBorder="1" applyAlignment="1">
      <alignment horizontal="right" vertical="center"/>
    </xf>
    <xf numFmtId="179" fontId="17" fillId="3" borderId="21" xfId="0" applyNumberFormat="1" applyFont="1" applyFill="1" applyBorder="1" applyAlignment="1">
      <alignment horizontal="right" vertical="center"/>
    </xf>
    <xf numFmtId="179" fontId="17" fillId="3" borderId="3" xfId="0" applyNumberFormat="1" applyFont="1" applyFill="1" applyBorder="1" applyAlignment="1">
      <alignment horizontal="right" vertical="center"/>
    </xf>
    <xf numFmtId="179" fontId="17" fillId="3" borderId="1" xfId="0" applyNumberFormat="1" applyFont="1" applyFill="1" applyBorder="1" applyAlignment="1">
      <alignment horizontal="right" vertical="center"/>
    </xf>
    <xf numFmtId="179" fontId="17" fillId="3" borderId="45" xfId="0" applyNumberFormat="1" applyFont="1" applyFill="1" applyBorder="1" applyAlignment="1">
      <alignment horizontal="right" vertical="center"/>
    </xf>
    <xf numFmtId="0" fontId="12" fillId="0" borderId="25" xfId="0" applyFont="1" applyFill="1" applyBorder="1" applyAlignment="1">
      <alignment vertical="center" shrinkToFit="1"/>
    </xf>
    <xf numFmtId="178" fontId="17" fillId="0" borderId="25" xfId="0" applyNumberFormat="1" applyFont="1" applyFill="1" applyBorder="1" applyAlignment="1">
      <alignment horizontal="right" vertical="center"/>
    </xf>
    <xf numFmtId="179" fontId="8" fillId="0" borderId="25" xfId="0" applyNumberFormat="1" applyFont="1" applyFill="1" applyBorder="1" applyAlignment="1">
      <alignment horizontal="right" vertical="center"/>
    </xf>
    <xf numFmtId="179" fontId="17" fillId="8" borderId="25" xfId="0" applyNumberFormat="1" applyFont="1" applyFill="1" applyBorder="1" applyAlignment="1">
      <alignment horizontal="right" vertical="center"/>
    </xf>
    <xf numFmtId="179" fontId="8" fillId="0" borderId="27" xfId="0" applyNumberFormat="1" applyFont="1" applyFill="1" applyBorder="1" applyAlignment="1">
      <alignment horizontal="right" vertical="center"/>
    </xf>
    <xf numFmtId="179" fontId="8" fillId="0" borderId="24" xfId="0" applyNumberFormat="1" applyFont="1" applyFill="1" applyBorder="1" applyAlignment="1">
      <alignment horizontal="right" vertical="center"/>
    </xf>
    <xf numFmtId="179" fontId="8" fillId="0" borderId="46" xfId="0" applyNumberFormat="1" applyFont="1" applyFill="1" applyBorder="1" applyAlignment="1">
      <alignment horizontal="right" vertical="center"/>
    </xf>
    <xf numFmtId="179" fontId="17" fillId="0" borderId="25" xfId="0" applyNumberFormat="1" applyFont="1" applyFill="1" applyBorder="1" applyAlignment="1">
      <alignment horizontal="right" vertical="center"/>
    </xf>
    <xf numFmtId="179" fontId="8" fillId="0" borderId="25" xfId="0" applyNumberFormat="1" applyFont="1" applyBorder="1" applyAlignment="1">
      <alignment horizontal="right" vertical="center"/>
    </xf>
    <xf numFmtId="179" fontId="8" fillId="0" borderId="13" xfId="0" applyNumberFormat="1" applyFont="1" applyFill="1" applyBorder="1" applyAlignment="1">
      <alignment horizontal="right" vertical="center"/>
    </xf>
    <xf numFmtId="0" fontId="8" fillId="0" borderId="25" xfId="0" applyFont="1" applyFill="1" applyBorder="1" applyAlignment="1">
      <alignment vertical="center" shrinkToFit="1"/>
    </xf>
    <xf numFmtId="178" fontId="8" fillId="0" borderId="25" xfId="0" applyNumberFormat="1" applyFont="1" applyFill="1" applyBorder="1" applyAlignment="1">
      <alignment horizontal="right" vertical="center"/>
    </xf>
    <xf numFmtId="179" fontId="6" fillId="0" borderId="11" xfId="0" applyNumberFormat="1" applyFont="1" applyFill="1" applyBorder="1" applyAlignment="1">
      <alignment horizontal="right" vertical="center"/>
    </xf>
    <xf numFmtId="0" fontId="12" fillId="0" borderId="2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179" fontId="6" fillId="0" borderId="25" xfId="0" applyNumberFormat="1" applyFont="1" applyFill="1" applyBorder="1" applyAlignment="1">
      <alignment horizontal="right" vertical="center"/>
    </xf>
    <xf numFmtId="179" fontId="8" fillId="0" borderId="27" xfId="0" applyNumberFormat="1" applyFont="1" applyBorder="1" applyAlignment="1">
      <alignment horizontal="right" vertical="center"/>
    </xf>
    <xf numFmtId="179" fontId="8" fillId="0" borderId="24" xfId="0" applyNumberFormat="1" applyFont="1" applyBorder="1" applyAlignment="1">
      <alignment horizontal="right" vertical="center"/>
    </xf>
    <xf numFmtId="179" fontId="8" fillId="0" borderId="46" xfId="0" applyNumberFormat="1" applyFont="1" applyBorder="1" applyAlignment="1">
      <alignment horizontal="right" vertical="center"/>
    </xf>
    <xf numFmtId="179" fontId="8" fillId="0" borderId="13" xfId="0" applyNumberFormat="1" applyFont="1" applyBorder="1" applyAlignment="1">
      <alignment horizontal="right" vertical="center"/>
    </xf>
    <xf numFmtId="179" fontId="8" fillId="0" borderId="10" xfId="0" applyNumberFormat="1" applyFont="1" applyBorder="1" applyAlignment="1">
      <alignment horizontal="right" vertical="center"/>
    </xf>
    <xf numFmtId="179" fontId="8" fillId="0" borderId="44" xfId="0" applyNumberFormat="1" applyFont="1" applyBorder="1" applyAlignment="1">
      <alignment horizontal="right" vertical="center"/>
    </xf>
    <xf numFmtId="179" fontId="17" fillId="5" borderId="25" xfId="1" applyNumberFormat="1" applyFont="1" applyFill="1" applyBorder="1" applyAlignment="1">
      <alignment horizontal="right" vertical="center"/>
    </xf>
    <xf numFmtId="179" fontId="17" fillId="8" borderId="25" xfId="1" applyNumberFormat="1" applyFont="1" applyFill="1" applyBorder="1" applyAlignment="1">
      <alignment horizontal="right" vertical="center"/>
    </xf>
    <xf numFmtId="179" fontId="17" fillId="5" borderId="6" xfId="1" applyNumberFormat="1" applyFont="1" applyFill="1" applyBorder="1" applyAlignment="1">
      <alignment horizontal="right" vertical="center"/>
    </xf>
    <xf numFmtId="179" fontId="17" fillId="5" borderId="27" xfId="1" applyNumberFormat="1" applyFont="1" applyFill="1" applyBorder="1" applyAlignment="1">
      <alignment horizontal="right" vertical="center"/>
    </xf>
    <xf numFmtId="179" fontId="17" fillId="5" borderId="24" xfId="1" applyNumberFormat="1" applyFont="1" applyFill="1" applyBorder="1" applyAlignment="1">
      <alignment horizontal="right" vertical="center"/>
    </xf>
    <xf numFmtId="179" fontId="17" fillId="5" borderId="46" xfId="1" applyNumberFormat="1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80" fontId="8" fillId="5" borderId="21" xfId="0" applyNumberFormat="1" applyFont="1" applyFill="1" applyBorder="1" applyAlignment="1">
      <alignment horizontal="right" vertical="center"/>
    </xf>
    <xf numFmtId="0" fontId="0" fillId="0" borderId="42" xfId="0" applyBorder="1">
      <alignment vertical="center"/>
    </xf>
    <xf numFmtId="0" fontId="8" fillId="0" borderId="0" xfId="0" applyFont="1" applyFill="1" applyAlignment="1">
      <alignment vertical="center" shrinkToFit="1"/>
    </xf>
    <xf numFmtId="181" fontId="0" fillId="0" borderId="0" xfId="0" applyNumberFormat="1">
      <alignment vertical="center"/>
    </xf>
    <xf numFmtId="177" fontId="24" fillId="0" borderId="0" xfId="9" applyNumberFormat="1" applyFont="1">
      <alignment vertical="center"/>
    </xf>
    <xf numFmtId="178" fontId="8" fillId="0" borderId="11" xfId="0" applyNumberFormat="1" applyFont="1" applyFill="1" applyBorder="1" applyAlignment="1">
      <alignment horizontal="right" vertical="center" shrinkToFit="1"/>
    </xf>
    <xf numFmtId="178" fontId="8" fillId="0" borderId="25" xfId="0" applyNumberFormat="1" applyFont="1" applyFill="1" applyBorder="1" applyAlignment="1">
      <alignment horizontal="right" vertical="center" shrinkToFit="1"/>
    </xf>
    <xf numFmtId="178" fontId="17" fillId="0" borderId="11" xfId="0" applyNumberFormat="1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41" fontId="17" fillId="5" borderId="36" xfId="1" applyFont="1" applyFill="1" applyBorder="1" applyAlignment="1">
      <alignment horizontal="center" vertical="center"/>
    </xf>
    <xf numFmtId="41" fontId="17" fillId="5" borderId="30" xfId="1" applyFont="1" applyFill="1" applyBorder="1" applyAlignment="1">
      <alignment horizontal="center" vertical="center"/>
    </xf>
    <xf numFmtId="179" fontId="17" fillId="5" borderId="36" xfId="1" applyNumberFormat="1" applyFont="1" applyFill="1" applyBorder="1" applyAlignment="1">
      <alignment horizontal="right" vertical="center"/>
    </xf>
    <xf numFmtId="179" fontId="17" fillId="5" borderId="30" xfId="1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178" fontId="17" fillId="5" borderId="36" xfId="1" applyNumberFormat="1" applyFont="1" applyFill="1" applyBorder="1" applyAlignment="1">
      <alignment horizontal="right" vertical="center"/>
    </xf>
    <xf numFmtId="178" fontId="17" fillId="5" borderId="30" xfId="1" applyNumberFormat="1" applyFont="1" applyFill="1" applyBorder="1" applyAlignment="1">
      <alignment horizontal="right" vertical="center"/>
    </xf>
    <xf numFmtId="0" fontId="25" fillId="0" borderId="15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vertical="center" wrapText="1" shrinkToFit="1"/>
    </xf>
    <xf numFmtId="0" fontId="17" fillId="2" borderId="33" xfId="0" applyFont="1" applyFill="1" applyBorder="1" applyAlignment="1">
      <alignment horizontal="center" vertical="center" wrapText="1" shrinkToFit="1"/>
    </xf>
    <xf numFmtId="0" fontId="17" fillId="2" borderId="25" xfId="0" applyFont="1" applyFill="1" applyBorder="1" applyAlignment="1">
      <alignment horizontal="center" vertical="center" wrapText="1" shrinkToFi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wrapText="1" shrinkToFit="1"/>
    </xf>
    <xf numFmtId="0" fontId="4" fillId="9" borderId="6" xfId="0" applyFont="1" applyFill="1" applyBorder="1" applyAlignment="1">
      <alignment horizontal="center" vertical="center" wrapText="1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2" borderId="11" xfId="0" applyFont="1" applyFill="1" applyBorder="1" applyAlignment="1">
      <alignment horizontal="center" vertical="center" wrapText="1" shrinkToFit="1"/>
    </xf>
    <xf numFmtId="0" fontId="4" fillId="6" borderId="6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8" borderId="36" xfId="0" applyFont="1" applyFill="1" applyBorder="1" applyAlignment="1">
      <alignment horizontal="center" vertical="center" wrapText="1" shrinkToFit="1"/>
    </xf>
    <xf numFmtId="0" fontId="4" fillId="8" borderId="33" xfId="0" applyFont="1" applyFill="1" applyBorder="1" applyAlignment="1">
      <alignment horizontal="center" vertical="center" wrapText="1" shrinkToFit="1"/>
    </xf>
    <xf numFmtId="0" fontId="4" fillId="8" borderId="25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shrinkToFit="1"/>
    </xf>
    <xf numFmtId="0" fontId="5" fillId="2" borderId="11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 shrinkToFit="1"/>
    </xf>
    <xf numFmtId="0" fontId="5" fillId="2" borderId="11" xfId="0" applyFont="1" applyFill="1" applyBorder="1" applyAlignment="1">
      <alignment horizontal="center" vertical="center" wrapText="1" shrinkToFi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 wrapText="1"/>
    </xf>
    <xf numFmtId="0" fontId="4" fillId="14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15" xfId="0" applyFont="1" applyFill="1" applyBorder="1" applyAlignment="1">
      <alignment horizontal="center" vertical="center" shrinkToFi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3" borderId="11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</cellXfs>
  <cellStyles count="10">
    <cellStyle name="나쁨 2" xfId="8"/>
    <cellStyle name="백분율" xfId="9" builtinId="5"/>
    <cellStyle name="쉼표 [0]" xfId="1" builtinId="6"/>
    <cellStyle name="쉼표 [0] 2" xfId="3"/>
    <cellStyle name="쉼표 [0] 2 2" xfId="7"/>
    <cellStyle name="쉼표 [0] 3" xfId="6"/>
    <cellStyle name="표준" xfId="0" builtinId="0"/>
    <cellStyle name="표준 2" xfId="2"/>
    <cellStyle name="표준 2 3" xfId="5"/>
    <cellStyle name="표준 3" xfId="4"/>
  </cellStyles>
  <dxfs count="0"/>
  <tableStyles count="0" defaultTableStyle="TableStyleMedium2" defaultPivotStyle="PivotStyleLight16"/>
  <colors>
    <mruColors>
      <color rgb="FFF79109"/>
      <color rgb="FF0066FF"/>
      <color rgb="FFCCFFCC"/>
      <color rgb="FFFFCCFF"/>
      <color rgb="FF00FF99"/>
      <color rgb="FFCCFF33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W119"/>
  <sheetViews>
    <sheetView tabSelected="1" zoomScale="85" zoomScaleNormal="85" zoomScaleSheetLayoutView="70" workbookViewId="0">
      <pane xSplit="3" ySplit="5" topLeftCell="J6" activePane="bottomRight" state="frozen"/>
      <selection activeCell="B1" sqref="B1"/>
      <selection pane="topRight" activeCell="F1" sqref="F1"/>
      <selection pane="bottomLeft" activeCell="B6" sqref="B6"/>
      <selection pane="bottomRight" activeCell="K128" sqref="K128"/>
    </sheetView>
  </sheetViews>
  <sheetFormatPr defaultRowHeight="16.5" x14ac:dyDescent="0.3"/>
  <cols>
    <col min="1" max="1" width="14.875" customWidth="1"/>
    <col min="2" max="2" width="24.875" style="3" customWidth="1"/>
    <col min="3" max="3" width="8.875" style="221" customWidth="1"/>
    <col min="4" max="4" width="10.75" customWidth="1"/>
    <col min="5" max="5" width="8.25" bestFit="1" customWidth="1"/>
    <col min="6" max="9" width="6.375" customWidth="1"/>
    <col min="10" max="10" width="7.375" bestFit="1" customWidth="1"/>
    <col min="11" max="12" width="6.625" customWidth="1"/>
    <col min="13" max="24" width="5.625" customWidth="1"/>
    <col min="25" max="25" width="6.625" customWidth="1"/>
    <col min="26" max="26" width="5.625" customWidth="1"/>
    <col min="27" max="27" width="6.875" customWidth="1"/>
    <col min="28" max="28" width="5.625" customWidth="1"/>
    <col min="29" max="29" width="7.625" customWidth="1"/>
    <col min="30" max="31" width="6.625" customWidth="1"/>
    <col min="32" max="32" width="5.625" customWidth="1"/>
    <col min="33" max="33" width="7.625" customWidth="1"/>
    <col min="34" max="34" width="6.625" customWidth="1"/>
    <col min="35" max="36" width="5.625" customWidth="1"/>
    <col min="37" max="37" width="6.625" customWidth="1"/>
    <col min="38" max="38" width="5.625" customWidth="1"/>
    <col min="39" max="42" width="5.625" hidden="1" customWidth="1"/>
    <col min="43" max="43" width="7.625" customWidth="1"/>
    <col min="44" max="46" width="5.625" customWidth="1"/>
    <col min="47" max="47" width="7.625" customWidth="1"/>
    <col min="48" max="48" width="6.625" customWidth="1"/>
    <col min="49" max="49" width="7.625" customWidth="1"/>
  </cols>
  <sheetData>
    <row r="1" spans="1:49" s="230" customFormat="1" ht="46.5" customHeight="1" x14ac:dyDescent="0.3">
      <c r="A1" s="255" t="s">
        <v>268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W1" s="257"/>
    </row>
    <row r="2" spans="1:49" ht="16.5" customHeight="1" x14ac:dyDescent="0.3">
      <c r="A2" s="239" t="s">
        <v>0</v>
      </c>
      <c r="B2" s="258" t="s">
        <v>1</v>
      </c>
      <c r="C2" s="259" t="s">
        <v>222</v>
      </c>
      <c r="D2" s="250" t="s">
        <v>267</v>
      </c>
      <c r="E2" s="262" t="s">
        <v>223</v>
      </c>
      <c r="F2" s="239" t="s">
        <v>2</v>
      </c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 t="s">
        <v>3</v>
      </c>
      <c r="AI2" s="239"/>
      <c r="AJ2" s="239"/>
      <c r="AK2" s="239"/>
      <c r="AL2" s="239"/>
      <c r="AM2" s="239"/>
      <c r="AN2" s="239"/>
      <c r="AO2" s="239"/>
      <c r="AP2" s="239"/>
      <c r="AQ2" s="239"/>
      <c r="AR2" s="239" t="s">
        <v>212</v>
      </c>
      <c r="AS2" s="239"/>
      <c r="AT2" s="239"/>
      <c r="AU2" s="239" t="s">
        <v>4</v>
      </c>
      <c r="AV2" s="239"/>
      <c r="AW2" s="236" t="s">
        <v>5</v>
      </c>
    </row>
    <row r="3" spans="1:49" x14ac:dyDescent="0.3">
      <c r="A3" s="239"/>
      <c r="B3" s="258"/>
      <c r="C3" s="260"/>
      <c r="D3" s="251"/>
      <c r="E3" s="262"/>
      <c r="F3" s="239" t="s">
        <v>6</v>
      </c>
      <c r="G3" s="239"/>
      <c r="H3" s="239"/>
      <c r="I3" s="239"/>
      <c r="J3" s="239"/>
      <c r="K3" s="239" t="s">
        <v>7</v>
      </c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 t="s">
        <v>8</v>
      </c>
      <c r="AE3" s="239"/>
      <c r="AF3" s="239"/>
      <c r="AG3" s="236" t="s">
        <v>9</v>
      </c>
      <c r="AH3" s="239" t="s">
        <v>10</v>
      </c>
      <c r="AI3" s="239"/>
      <c r="AJ3" s="239"/>
      <c r="AK3" s="238" t="s">
        <v>11</v>
      </c>
      <c r="AL3" s="239"/>
      <c r="AM3" s="240"/>
      <c r="AN3" s="241" t="s">
        <v>214</v>
      </c>
      <c r="AO3" s="242"/>
      <c r="AP3" s="238"/>
      <c r="AQ3" s="236" t="s">
        <v>12</v>
      </c>
      <c r="AR3" s="262" t="s">
        <v>211</v>
      </c>
      <c r="AS3" s="262"/>
      <c r="AT3" s="262"/>
      <c r="AU3" s="239"/>
      <c r="AV3" s="239"/>
      <c r="AW3" s="237"/>
    </row>
    <row r="4" spans="1:49" ht="16.5" customHeight="1" x14ac:dyDescent="0.3">
      <c r="A4" s="239"/>
      <c r="B4" s="258"/>
      <c r="C4" s="260"/>
      <c r="D4" s="251"/>
      <c r="E4" s="262"/>
      <c r="F4" s="239" t="s">
        <v>13</v>
      </c>
      <c r="G4" s="239"/>
      <c r="H4" s="239"/>
      <c r="I4" s="239"/>
      <c r="J4" s="236" t="s">
        <v>14</v>
      </c>
      <c r="K4" s="239" t="s">
        <v>13</v>
      </c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43" t="s">
        <v>15</v>
      </c>
      <c r="Z4" s="243"/>
      <c r="AA4" s="243"/>
      <c r="AB4" s="243"/>
      <c r="AC4" s="236" t="s">
        <v>16</v>
      </c>
      <c r="AD4" s="239" t="s">
        <v>13</v>
      </c>
      <c r="AE4" s="239"/>
      <c r="AF4" s="239"/>
      <c r="AG4" s="237"/>
      <c r="AH4" s="239" t="s">
        <v>13</v>
      </c>
      <c r="AI4" s="239"/>
      <c r="AJ4" s="239"/>
      <c r="AK4" s="238" t="s">
        <v>13</v>
      </c>
      <c r="AL4" s="239"/>
      <c r="AM4" s="240"/>
      <c r="AN4" s="241" t="s">
        <v>209</v>
      </c>
      <c r="AO4" s="242"/>
      <c r="AP4" s="238"/>
      <c r="AQ4" s="237"/>
      <c r="AR4" s="170" t="s">
        <v>209</v>
      </c>
      <c r="AS4" s="243" t="s">
        <v>140</v>
      </c>
      <c r="AT4" s="243"/>
      <c r="AU4" s="239"/>
      <c r="AV4" s="239"/>
      <c r="AW4" s="237"/>
    </row>
    <row r="5" spans="1:49" ht="54" x14ac:dyDescent="0.3">
      <c r="A5" s="239"/>
      <c r="B5" s="258"/>
      <c r="C5" s="261"/>
      <c r="D5" s="252"/>
      <c r="E5" s="262"/>
      <c r="F5" s="173" t="s">
        <v>218</v>
      </c>
      <c r="G5" s="173" t="s">
        <v>219</v>
      </c>
      <c r="H5" s="173" t="s">
        <v>213</v>
      </c>
      <c r="I5" s="173" t="s">
        <v>17</v>
      </c>
      <c r="J5" s="237"/>
      <c r="K5" s="173" t="s">
        <v>224</v>
      </c>
      <c r="L5" s="173" t="s">
        <v>225</v>
      </c>
      <c r="M5" s="173" t="s">
        <v>226</v>
      </c>
      <c r="N5" s="173" t="s">
        <v>227</v>
      </c>
      <c r="O5" s="173" t="s">
        <v>228</v>
      </c>
      <c r="P5" s="173" t="s">
        <v>269</v>
      </c>
      <c r="Q5" s="227" t="s">
        <v>270</v>
      </c>
      <c r="R5" s="227" t="s">
        <v>271</v>
      </c>
      <c r="S5" s="227" t="s">
        <v>272</v>
      </c>
      <c r="T5" s="227" t="s">
        <v>273</v>
      </c>
      <c r="U5" s="227" t="s">
        <v>274</v>
      </c>
      <c r="V5" s="227" t="s">
        <v>275</v>
      </c>
      <c r="W5" s="173" t="s">
        <v>229</v>
      </c>
      <c r="X5" s="173" t="s">
        <v>230</v>
      </c>
      <c r="Y5" s="173" t="s">
        <v>24</v>
      </c>
      <c r="Z5" s="173" t="s">
        <v>231</v>
      </c>
      <c r="AA5" s="173" t="s">
        <v>26</v>
      </c>
      <c r="AB5" s="173" t="s">
        <v>27</v>
      </c>
      <c r="AC5" s="237"/>
      <c r="AD5" s="173" t="s">
        <v>23</v>
      </c>
      <c r="AE5" s="173" t="s">
        <v>276</v>
      </c>
      <c r="AF5" s="173" t="s">
        <v>276</v>
      </c>
      <c r="AG5" s="237"/>
      <c r="AH5" s="173" t="s">
        <v>30</v>
      </c>
      <c r="AI5" s="173" t="s">
        <v>221</v>
      </c>
      <c r="AJ5" s="173" t="s">
        <v>232</v>
      </c>
      <c r="AK5" s="174" t="s">
        <v>30</v>
      </c>
      <c r="AL5" s="173" t="s">
        <v>221</v>
      </c>
      <c r="AM5" s="172" t="s">
        <v>232</v>
      </c>
      <c r="AN5" s="175" t="s">
        <v>30</v>
      </c>
      <c r="AO5" s="103" t="s">
        <v>148</v>
      </c>
      <c r="AP5" s="173" t="s">
        <v>232</v>
      </c>
      <c r="AQ5" s="237"/>
      <c r="AR5" s="173" t="s">
        <v>20</v>
      </c>
      <c r="AS5" s="171" t="s">
        <v>28</v>
      </c>
      <c r="AT5" s="171" t="s">
        <v>210</v>
      </c>
      <c r="AU5" s="173" t="s">
        <v>32</v>
      </c>
      <c r="AV5" s="173" t="s">
        <v>33</v>
      </c>
      <c r="AW5" s="237"/>
    </row>
    <row r="6" spans="1:49" x14ac:dyDescent="0.3">
      <c r="A6" s="176" t="s">
        <v>34</v>
      </c>
      <c r="B6" s="158" t="s">
        <v>35</v>
      </c>
      <c r="C6" s="224">
        <v>85</v>
      </c>
      <c r="D6" s="177"/>
      <c r="E6" s="178">
        <f>C6+D6</f>
        <v>85</v>
      </c>
      <c r="F6" s="178">
        <v>15</v>
      </c>
      <c r="G6" s="178">
        <v>10</v>
      </c>
      <c r="H6" s="179"/>
      <c r="I6" s="179">
        <v>2</v>
      </c>
      <c r="J6" s="180">
        <f>SUM(F6:I6)</f>
        <v>27</v>
      </c>
      <c r="K6" s="178">
        <v>23</v>
      </c>
      <c r="L6" s="178">
        <v>14</v>
      </c>
      <c r="M6" s="179">
        <v>2</v>
      </c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80">
        <f>SUM(K6:AB6)</f>
        <v>39</v>
      </c>
      <c r="AD6" s="179"/>
      <c r="AE6" s="179"/>
      <c r="AF6" s="179"/>
      <c r="AG6" s="180">
        <f>SUM(F6:I6)+SUM(K6:AB6)+SUM(AD6:AF6)</f>
        <v>66</v>
      </c>
      <c r="AH6" s="179"/>
      <c r="AI6" s="179"/>
      <c r="AJ6" s="179"/>
      <c r="AK6" s="199">
        <v>16</v>
      </c>
      <c r="AL6" s="178">
        <v>3</v>
      </c>
      <c r="AM6" s="181"/>
      <c r="AN6" s="182"/>
      <c r="AO6" s="178"/>
      <c r="AP6" s="178"/>
      <c r="AQ6" s="180">
        <f>SUM(AH6:AP6)</f>
        <v>19</v>
      </c>
      <c r="AR6" s="183"/>
      <c r="AS6" s="183"/>
      <c r="AT6" s="183"/>
      <c r="AU6" s="179">
        <f>SUM(F6:I6)+SUM(K6:X6)+SUM(AD6:AF6)+SUM(AH6:AP6)+AR6</f>
        <v>85</v>
      </c>
      <c r="AV6" s="179">
        <f>SUM(Y6:AB6)+SUM(AS6:AT6)</f>
        <v>0</v>
      </c>
      <c r="AW6" s="180">
        <f>AU6+AV6</f>
        <v>85</v>
      </c>
    </row>
    <row r="7" spans="1:49" ht="17.25" thickBot="1" x14ac:dyDescent="0.35">
      <c r="A7" s="229" t="s">
        <v>36</v>
      </c>
      <c r="B7" s="184" t="s">
        <v>123</v>
      </c>
      <c r="C7" s="185">
        <f t="shared" ref="C7:AW7" si="0">SUM(C6)</f>
        <v>85</v>
      </c>
      <c r="D7" s="185">
        <f t="shared" si="0"/>
        <v>0</v>
      </c>
      <c r="E7" s="186">
        <f t="shared" si="0"/>
        <v>85</v>
      </c>
      <c r="F7" s="186">
        <f t="shared" si="0"/>
        <v>15</v>
      </c>
      <c r="G7" s="186">
        <f t="shared" si="0"/>
        <v>10</v>
      </c>
      <c r="H7" s="186">
        <f t="shared" si="0"/>
        <v>0</v>
      </c>
      <c r="I7" s="186">
        <f t="shared" si="0"/>
        <v>2</v>
      </c>
      <c r="J7" s="186">
        <f t="shared" si="0"/>
        <v>27</v>
      </c>
      <c r="K7" s="186">
        <f t="shared" si="0"/>
        <v>23</v>
      </c>
      <c r="L7" s="186">
        <f t="shared" si="0"/>
        <v>14</v>
      </c>
      <c r="M7" s="186">
        <f t="shared" si="0"/>
        <v>2</v>
      </c>
      <c r="N7" s="186">
        <f t="shared" si="0"/>
        <v>0</v>
      </c>
      <c r="O7" s="186">
        <f t="shared" si="0"/>
        <v>0</v>
      </c>
      <c r="P7" s="186">
        <f t="shared" si="0"/>
        <v>0</v>
      </c>
      <c r="Q7" s="186">
        <f t="shared" si="0"/>
        <v>0</v>
      </c>
      <c r="R7" s="186">
        <f t="shared" si="0"/>
        <v>0</v>
      </c>
      <c r="S7" s="186">
        <f t="shared" si="0"/>
        <v>0</v>
      </c>
      <c r="T7" s="186">
        <f t="shared" si="0"/>
        <v>0</v>
      </c>
      <c r="U7" s="186">
        <f t="shared" si="0"/>
        <v>0</v>
      </c>
      <c r="V7" s="186">
        <f t="shared" si="0"/>
        <v>0</v>
      </c>
      <c r="W7" s="186">
        <f t="shared" si="0"/>
        <v>0</v>
      </c>
      <c r="X7" s="186">
        <f t="shared" si="0"/>
        <v>0</v>
      </c>
      <c r="Y7" s="186">
        <f t="shared" si="0"/>
        <v>0</v>
      </c>
      <c r="Z7" s="186">
        <f t="shared" si="0"/>
        <v>0</v>
      </c>
      <c r="AA7" s="186">
        <f t="shared" si="0"/>
        <v>0</v>
      </c>
      <c r="AB7" s="186">
        <f t="shared" si="0"/>
        <v>0</v>
      </c>
      <c r="AC7" s="186">
        <f t="shared" si="0"/>
        <v>39</v>
      </c>
      <c r="AD7" s="186">
        <f t="shared" si="0"/>
        <v>0</v>
      </c>
      <c r="AE7" s="186">
        <f t="shared" si="0"/>
        <v>0</v>
      </c>
      <c r="AF7" s="186">
        <f t="shared" si="0"/>
        <v>0</v>
      </c>
      <c r="AG7" s="186">
        <f t="shared" si="0"/>
        <v>66</v>
      </c>
      <c r="AH7" s="186">
        <f t="shared" si="0"/>
        <v>0</v>
      </c>
      <c r="AI7" s="186">
        <f t="shared" si="0"/>
        <v>0</v>
      </c>
      <c r="AJ7" s="186">
        <f t="shared" si="0"/>
        <v>0</v>
      </c>
      <c r="AK7" s="187">
        <f t="shared" si="0"/>
        <v>16</v>
      </c>
      <c r="AL7" s="186">
        <f t="shared" si="0"/>
        <v>3</v>
      </c>
      <c r="AM7" s="188">
        <f t="shared" si="0"/>
        <v>0</v>
      </c>
      <c r="AN7" s="189">
        <f t="shared" si="0"/>
        <v>0</v>
      </c>
      <c r="AO7" s="186">
        <f t="shared" si="0"/>
        <v>0</v>
      </c>
      <c r="AP7" s="186">
        <f t="shared" si="0"/>
        <v>0</v>
      </c>
      <c r="AQ7" s="186">
        <f t="shared" si="0"/>
        <v>19</v>
      </c>
      <c r="AR7" s="186">
        <f t="shared" si="0"/>
        <v>0</v>
      </c>
      <c r="AS7" s="186">
        <f t="shared" si="0"/>
        <v>0</v>
      </c>
      <c r="AT7" s="186">
        <f t="shared" si="0"/>
        <v>0</v>
      </c>
      <c r="AU7" s="186">
        <f t="shared" si="0"/>
        <v>85</v>
      </c>
      <c r="AV7" s="186">
        <f t="shared" si="0"/>
        <v>0</v>
      </c>
      <c r="AW7" s="186">
        <f t="shared" si="0"/>
        <v>85</v>
      </c>
    </row>
    <row r="8" spans="1:49" x14ac:dyDescent="0.3">
      <c r="A8" s="231" t="s">
        <v>37</v>
      </c>
      <c r="B8" s="190" t="s">
        <v>38</v>
      </c>
      <c r="C8" s="225">
        <v>188</v>
      </c>
      <c r="D8" s="191"/>
      <c r="E8" s="192">
        <f>C8+D8</f>
        <v>188</v>
      </c>
      <c r="F8" s="192">
        <v>34</v>
      </c>
      <c r="G8" s="192">
        <v>20</v>
      </c>
      <c r="H8" s="192"/>
      <c r="I8" s="192">
        <v>9</v>
      </c>
      <c r="J8" s="193">
        <f>SUM(F8:I8)</f>
        <v>63</v>
      </c>
      <c r="K8" s="192">
        <v>42</v>
      </c>
      <c r="L8" s="192">
        <v>23</v>
      </c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>
        <v>9</v>
      </c>
      <c r="X8" s="192"/>
      <c r="Y8" s="192">
        <v>4</v>
      </c>
      <c r="Z8" s="192"/>
      <c r="AA8" s="192">
        <v>7</v>
      </c>
      <c r="AB8" s="192" t="s">
        <v>39</v>
      </c>
      <c r="AC8" s="193">
        <f t="shared" ref="AC8:AC63" si="1">SUM(K8:AB8)</f>
        <v>85</v>
      </c>
      <c r="AD8" s="192"/>
      <c r="AE8" s="192"/>
      <c r="AF8" s="192"/>
      <c r="AG8" s="193">
        <f>SUM(F8:I8)+SUM(K8:AB8)+SUM(AD8:AF8)</f>
        <v>148</v>
      </c>
      <c r="AH8" s="192">
        <v>51</v>
      </c>
      <c r="AI8" s="192"/>
      <c r="AJ8" s="192"/>
      <c r="AK8" s="194"/>
      <c r="AL8" s="192"/>
      <c r="AM8" s="195"/>
      <c r="AN8" s="196"/>
      <c r="AO8" s="192"/>
      <c r="AP8" s="192"/>
      <c r="AQ8" s="193">
        <f t="shared" ref="AQ8:AQ65" si="2">SUM(AH8:AP8)</f>
        <v>51</v>
      </c>
      <c r="AR8" s="197"/>
      <c r="AS8" s="197"/>
      <c r="AT8" s="197"/>
      <c r="AU8" s="198">
        <f>SUM(F8:I8)+SUM(K8:X8)+SUM(AD8:AF8)+SUM(AH8:AP8)+AR8</f>
        <v>188</v>
      </c>
      <c r="AV8" s="198">
        <f>SUM(Y8:AB8)+SUM(AS8:AT8)</f>
        <v>11</v>
      </c>
      <c r="AW8" s="193">
        <f t="shared" ref="AW8:AW71" si="3">AU8+AV8</f>
        <v>199</v>
      </c>
    </row>
    <row r="9" spans="1:49" x14ac:dyDescent="0.3">
      <c r="A9" s="232"/>
      <c r="B9" s="158" t="s">
        <v>40</v>
      </c>
      <c r="C9" s="224">
        <v>71</v>
      </c>
      <c r="D9" s="177"/>
      <c r="E9" s="178">
        <f>C9+D9</f>
        <v>71</v>
      </c>
      <c r="F9" s="178">
        <v>13</v>
      </c>
      <c r="G9" s="178">
        <v>9</v>
      </c>
      <c r="H9" s="178"/>
      <c r="I9" s="178">
        <v>2</v>
      </c>
      <c r="J9" s="180">
        <f>SUM(F9:I9)</f>
        <v>24</v>
      </c>
      <c r="K9" s="178">
        <v>16</v>
      </c>
      <c r="L9" s="178">
        <v>11</v>
      </c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>
        <v>3</v>
      </c>
      <c r="X9" s="178"/>
      <c r="Y9" s="178">
        <v>3</v>
      </c>
      <c r="Z9" s="178"/>
      <c r="AA9" s="178"/>
      <c r="AB9" s="178" t="s">
        <v>39</v>
      </c>
      <c r="AC9" s="180">
        <f t="shared" si="1"/>
        <v>33</v>
      </c>
      <c r="AD9" s="178"/>
      <c r="AE9" s="178"/>
      <c r="AF9" s="178"/>
      <c r="AG9" s="180">
        <f>SUM(F9:I9)+SUM(K9:AB9)+SUM(AD9:AF9)</f>
        <v>57</v>
      </c>
      <c r="AH9" s="178">
        <v>17</v>
      </c>
      <c r="AI9" s="178"/>
      <c r="AJ9" s="178"/>
      <c r="AK9" s="199"/>
      <c r="AL9" s="178"/>
      <c r="AM9" s="181"/>
      <c r="AN9" s="182"/>
      <c r="AO9" s="178"/>
      <c r="AP9" s="178"/>
      <c r="AQ9" s="180">
        <f t="shared" si="2"/>
        <v>17</v>
      </c>
      <c r="AR9" s="183"/>
      <c r="AS9" s="183"/>
      <c r="AT9" s="183"/>
      <c r="AU9" s="179">
        <f>SUM(F9:I9)+SUM(K9:X9)+SUM(AD9:AF9)+SUM(AH9:AP9)+AR9</f>
        <v>71</v>
      </c>
      <c r="AV9" s="179">
        <f>SUM(Y9:AB9)+SUM(AS9:AT9)</f>
        <v>3</v>
      </c>
      <c r="AW9" s="180">
        <f t="shared" si="3"/>
        <v>74</v>
      </c>
    </row>
    <row r="10" spans="1:49" x14ac:dyDescent="0.3">
      <c r="A10" s="232"/>
      <c r="B10" s="158" t="s">
        <v>41</v>
      </c>
      <c r="C10" s="224">
        <v>31</v>
      </c>
      <c r="D10" s="177"/>
      <c r="E10" s="178">
        <f>C10+D10</f>
        <v>31</v>
      </c>
      <c r="F10" s="178">
        <v>7</v>
      </c>
      <c r="G10" s="178">
        <v>4</v>
      </c>
      <c r="H10" s="178"/>
      <c r="I10" s="178">
        <v>2</v>
      </c>
      <c r="J10" s="180">
        <f>SUM(F10:I10)</f>
        <v>13</v>
      </c>
      <c r="K10" s="178">
        <v>6</v>
      </c>
      <c r="L10" s="178">
        <v>4</v>
      </c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>
        <v>2</v>
      </c>
      <c r="X10" s="178"/>
      <c r="Y10" s="178">
        <v>2</v>
      </c>
      <c r="Z10" s="178"/>
      <c r="AA10" s="178">
        <v>2</v>
      </c>
      <c r="AB10" s="178" t="s">
        <v>42</v>
      </c>
      <c r="AC10" s="180">
        <f t="shared" si="1"/>
        <v>16</v>
      </c>
      <c r="AD10" s="178"/>
      <c r="AE10" s="178"/>
      <c r="AF10" s="178"/>
      <c r="AG10" s="180">
        <f>SUM(F10:I10)+SUM(K10:AB10)+SUM(AD10:AF10)</f>
        <v>29</v>
      </c>
      <c r="AH10" s="178">
        <v>6</v>
      </c>
      <c r="AI10" s="178"/>
      <c r="AJ10" s="178"/>
      <c r="AK10" s="199"/>
      <c r="AL10" s="178"/>
      <c r="AM10" s="181"/>
      <c r="AN10" s="182"/>
      <c r="AO10" s="178"/>
      <c r="AP10" s="178"/>
      <c r="AQ10" s="180">
        <f t="shared" si="2"/>
        <v>6</v>
      </c>
      <c r="AR10" s="183"/>
      <c r="AS10" s="183"/>
      <c r="AT10" s="183"/>
      <c r="AU10" s="179">
        <f>SUM(F10:I10)+SUM(K10:X10)+SUM(AD10:AF10)+SUM(AH10:AP10)+AR10</f>
        <v>31</v>
      </c>
      <c r="AV10" s="179">
        <f>SUM(Y10:AB10)+SUM(AS10:AT10)</f>
        <v>4</v>
      </c>
      <c r="AW10" s="180">
        <f t="shared" si="3"/>
        <v>35</v>
      </c>
    </row>
    <row r="11" spans="1:49" x14ac:dyDescent="0.3">
      <c r="A11" s="232"/>
      <c r="B11" s="158" t="s">
        <v>43</v>
      </c>
      <c r="C11" s="224">
        <v>49</v>
      </c>
      <c r="D11" s="177"/>
      <c r="E11" s="178">
        <f>C11+D11</f>
        <v>49</v>
      </c>
      <c r="F11" s="178">
        <v>10</v>
      </c>
      <c r="G11" s="178">
        <v>7</v>
      </c>
      <c r="H11" s="178"/>
      <c r="I11" s="178">
        <v>3</v>
      </c>
      <c r="J11" s="180">
        <f>SUM(F11:I11)</f>
        <v>20</v>
      </c>
      <c r="K11" s="178">
        <v>9</v>
      </c>
      <c r="L11" s="178">
        <v>8</v>
      </c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>
        <v>3</v>
      </c>
      <c r="X11" s="178"/>
      <c r="Y11" s="178">
        <v>2</v>
      </c>
      <c r="Z11" s="178"/>
      <c r="AA11" s="178">
        <v>3</v>
      </c>
      <c r="AB11" s="178" t="s">
        <v>39</v>
      </c>
      <c r="AC11" s="180">
        <f t="shared" si="1"/>
        <v>25</v>
      </c>
      <c r="AD11" s="178"/>
      <c r="AE11" s="178"/>
      <c r="AF11" s="178"/>
      <c r="AG11" s="180">
        <f>SUM(F11:I11)+SUM(K11:AB11)+SUM(AD11:AF11)</f>
        <v>45</v>
      </c>
      <c r="AH11" s="178">
        <v>9</v>
      </c>
      <c r="AI11" s="178"/>
      <c r="AJ11" s="178"/>
      <c r="AK11" s="199"/>
      <c r="AL11" s="178"/>
      <c r="AM11" s="181"/>
      <c r="AN11" s="182"/>
      <c r="AO11" s="178"/>
      <c r="AP11" s="178"/>
      <c r="AQ11" s="180">
        <f t="shared" si="2"/>
        <v>9</v>
      </c>
      <c r="AR11" s="183"/>
      <c r="AS11" s="183"/>
      <c r="AT11" s="183"/>
      <c r="AU11" s="179">
        <f>SUM(F11:I11)+SUM(K11:X11)+SUM(AD11:AF11)+SUM(AH11:AP11)+AR11</f>
        <v>49</v>
      </c>
      <c r="AV11" s="179">
        <f>SUM(Y11:AB11)+SUM(AS11:AT11)</f>
        <v>5</v>
      </c>
      <c r="AW11" s="180">
        <f t="shared" si="3"/>
        <v>54</v>
      </c>
    </row>
    <row r="12" spans="1:49" x14ac:dyDescent="0.3">
      <c r="A12" s="233"/>
      <c r="B12" s="46" t="s">
        <v>233</v>
      </c>
      <c r="C12" s="224">
        <v>38</v>
      </c>
      <c r="D12" s="177"/>
      <c r="E12" s="178">
        <f>C12+D12</f>
        <v>38</v>
      </c>
      <c r="F12" s="178"/>
      <c r="G12" s="178"/>
      <c r="H12" s="178"/>
      <c r="I12" s="178"/>
      <c r="J12" s="180">
        <f>SUM(F12:I12)</f>
        <v>0</v>
      </c>
      <c r="K12" s="178">
        <v>17</v>
      </c>
      <c r="L12" s="178">
        <v>13</v>
      </c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80">
        <f t="shared" si="1"/>
        <v>30</v>
      </c>
      <c r="AD12" s="178"/>
      <c r="AE12" s="178"/>
      <c r="AF12" s="178"/>
      <c r="AG12" s="180">
        <f>SUM(F12:I12)+SUM(K12:AB12)+SUM(AD12:AF12)</f>
        <v>30</v>
      </c>
      <c r="AH12" s="178"/>
      <c r="AI12" s="178"/>
      <c r="AJ12" s="178"/>
      <c r="AK12" s="199">
        <v>8</v>
      </c>
      <c r="AL12" s="178"/>
      <c r="AM12" s="181"/>
      <c r="AN12" s="182"/>
      <c r="AO12" s="178"/>
      <c r="AP12" s="178"/>
      <c r="AQ12" s="180">
        <f t="shared" si="2"/>
        <v>8</v>
      </c>
      <c r="AR12" s="183"/>
      <c r="AS12" s="183"/>
      <c r="AT12" s="183"/>
      <c r="AU12" s="179">
        <f>SUM(F12:I12)+SUM(K12:X12)+SUM(AD12:AF12)+SUM(AH12:AP12)+AR12</f>
        <v>38</v>
      </c>
      <c r="AV12" s="179">
        <f>SUM(Y12:AB12)+SUM(AS12:AT12)</f>
        <v>0</v>
      </c>
      <c r="AW12" s="180">
        <f t="shared" si="3"/>
        <v>38</v>
      </c>
    </row>
    <row r="13" spans="1:49" ht="17.25" thickBot="1" x14ac:dyDescent="0.35">
      <c r="A13" s="229" t="s">
        <v>36</v>
      </c>
      <c r="B13" s="184" t="s">
        <v>124</v>
      </c>
      <c r="C13" s="185">
        <f t="shared" ref="C13:AW13" si="4">SUM(C8:C12)</f>
        <v>377</v>
      </c>
      <c r="D13" s="185">
        <f t="shared" si="4"/>
        <v>0</v>
      </c>
      <c r="E13" s="186">
        <f t="shared" si="4"/>
        <v>377</v>
      </c>
      <c r="F13" s="186">
        <f t="shared" si="4"/>
        <v>64</v>
      </c>
      <c r="G13" s="186">
        <f t="shared" si="4"/>
        <v>40</v>
      </c>
      <c r="H13" s="186">
        <f t="shared" si="4"/>
        <v>0</v>
      </c>
      <c r="I13" s="186">
        <f t="shared" si="4"/>
        <v>16</v>
      </c>
      <c r="J13" s="186">
        <f t="shared" si="4"/>
        <v>120</v>
      </c>
      <c r="K13" s="186">
        <f t="shared" si="4"/>
        <v>90</v>
      </c>
      <c r="L13" s="186">
        <f t="shared" si="4"/>
        <v>59</v>
      </c>
      <c r="M13" s="186">
        <f t="shared" si="4"/>
        <v>0</v>
      </c>
      <c r="N13" s="186">
        <f t="shared" si="4"/>
        <v>0</v>
      </c>
      <c r="O13" s="186">
        <f t="shared" si="4"/>
        <v>0</v>
      </c>
      <c r="P13" s="186">
        <f t="shared" si="4"/>
        <v>0</v>
      </c>
      <c r="Q13" s="186">
        <f t="shared" si="4"/>
        <v>0</v>
      </c>
      <c r="R13" s="186">
        <f t="shared" si="4"/>
        <v>0</v>
      </c>
      <c r="S13" s="186">
        <f t="shared" si="4"/>
        <v>0</v>
      </c>
      <c r="T13" s="186">
        <f t="shared" si="4"/>
        <v>0</v>
      </c>
      <c r="U13" s="186">
        <f t="shared" si="4"/>
        <v>0</v>
      </c>
      <c r="V13" s="186">
        <f t="shared" si="4"/>
        <v>0</v>
      </c>
      <c r="W13" s="186">
        <f t="shared" si="4"/>
        <v>17</v>
      </c>
      <c r="X13" s="186">
        <f t="shared" si="4"/>
        <v>0</v>
      </c>
      <c r="Y13" s="186">
        <f t="shared" si="4"/>
        <v>11</v>
      </c>
      <c r="Z13" s="186">
        <f t="shared" si="4"/>
        <v>0</v>
      </c>
      <c r="AA13" s="186">
        <f t="shared" si="4"/>
        <v>12</v>
      </c>
      <c r="AB13" s="186">
        <f t="shared" si="4"/>
        <v>0</v>
      </c>
      <c r="AC13" s="186">
        <f t="shared" si="4"/>
        <v>189</v>
      </c>
      <c r="AD13" s="186">
        <f t="shared" si="4"/>
        <v>0</v>
      </c>
      <c r="AE13" s="186">
        <f t="shared" si="4"/>
        <v>0</v>
      </c>
      <c r="AF13" s="186">
        <f t="shared" si="4"/>
        <v>0</v>
      </c>
      <c r="AG13" s="186">
        <f t="shared" si="4"/>
        <v>309</v>
      </c>
      <c r="AH13" s="186">
        <f t="shared" si="4"/>
        <v>83</v>
      </c>
      <c r="AI13" s="186">
        <f t="shared" si="4"/>
        <v>0</v>
      </c>
      <c r="AJ13" s="186">
        <f t="shared" si="4"/>
        <v>0</v>
      </c>
      <c r="AK13" s="187">
        <f t="shared" si="4"/>
        <v>8</v>
      </c>
      <c r="AL13" s="186">
        <f t="shared" si="4"/>
        <v>0</v>
      </c>
      <c r="AM13" s="188">
        <f t="shared" si="4"/>
        <v>0</v>
      </c>
      <c r="AN13" s="189">
        <f t="shared" si="4"/>
        <v>0</v>
      </c>
      <c r="AO13" s="186">
        <f t="shared" si="4"/>
        <v>0</v>
      </c>
      <c r="AP13" s="186">
        <f t="shared" si="4"/>
        <v>0</v>
      </c>
      <c r="AQ13" s="186">
        <f t="shared" si="4"/>
        <v>91</v>
      </c>
      <c r="AR13" s="186">
        <f t="shared" si="4"/>
        <v>0</v>
      </c>
      <c r="AS13" s="186">
        <f t="shared" si="4"/>
        <v>0</v>
      </c>
      <c r="AT13" s="186">
        <f t="shared" si="4"/>
        <v>0</v>
      </c>
      <c r="AU13" s="186">
        <f t="shared" si="4"/>
        <v>377</v>
      </c>
      <c r="AV13" s="186">
        <f t="shared" si="4"/>
        <v>23</v>
      </c>
      <c r="AW13" s="186">
        <f t="shared" si="4"/>
        <v>400</v>
      </c>
    </row>
    <row r="14" spans="1:49" x14ac:dyDescent="0.3">
      <c r="A14" s="231" t="s">
        <v>44</v>
      </c>
      <c r="B14" s="46" t="s">
        <v>162</v>
      </c>
      <c r="C14" s="224">
        <v>43</v>
      </c>
      <c r="D14" s="177"/>
      <c r="E14" s="178">
        <f t="shared" ref="E14:E22" si="5">C14+D14</f>
        <v>43</v>
      </c>
      <c r="F14" s="178">
        <v>9</v>
      </c>
      <c r="G14" s="178">
        <v>7</v>
      </c>
      <c r="H14" s="178"/>
      <c r="I14" s="178">
        <v>2</v>
      </c>
      <c r="J14" s="180">
        <f>SUM(F14:I14)</f>
        <v>18</v>
      </c>
      <c r="K14" s="178">
        <v>11</v>
      </c>
      <c r="L14" s="178">
        <v>9</v>
      </c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>
        <v>2</v>
      </c>
      <c r="Z14" s="178"/>
      <c r="AA14" s="178">
        <v>2</v>
      </c>
      <c r="AB14" s="178"/>
      <c r="AC14" s="180">
        <f>SUM(K14:AB14)</f>
        <v>24</v>
      </c>
      <c r="AD14" s="178"/>
      <c r="AE14" s="178"/>
      <c r="AF14" s="178"/>
      <c r="AG14" s="180">
        <f t="shared" ref="AG14:AG22" si="6">SUM(F14:I14)+SUM(K14:AB14)+SUM(AD14:AF14)</f>
        <v>42</v>
      </c>
      <c r="AH14" s="178"/>
      <c r="AI14" s="178"/>
      <c r="AJ14" s="178"/>
      <c r="AK14" s="199">
        <v>5</v>
      </c>
      <c r="AL14" s="178"/>
      <c r="AM14" s="181"/>
      <c r="AN14" s="182"/>
      <c r="AO14" s="178"/>
      <c r="AP14" s="178"/>
      <c r="AQ14" s="180">
        <f>SUM(AH14:AP14)</f>
        <v>5</v>
      </c>
      <c r="AR14" s="183"/>
      <c r="AS14" s="183"/>
      <c r="AT14" s="183"/>
      <c r="AU14" s="179">
        <f t="shared" ref="AU14:AU22" si="7">SUM(F14:I14)+SUM(K14:X14)+SUM(AD14:AF14)+SUM(AH14:AP14)+AR14</f>
        <v>43</v>
      </c>
      <c r="AV14" s="179">
        <f t="shared" ref="AV14:AV22" si="8">SUM(Y14:AB14)+SUM(AS14:AT14)</f>
        <v>4</v>
      </c>
      <c r="AW14" s="180">
        <f>AU14+AV14</f>
        <v>47</v>
      </c>
    </row>
    <row r="15" spans="1:49" x14ac:dyDescent="0.3">
      <c r="A15" s="232"/>
      <c r="B15" s="200" t="s">
        <v>45</v>
      </c>
      <c r="C15" s="225">
        <v>6</v>
      </c>
      <c r="D15" s="201"/>
      <c r="E15" s="192">
        <f t="shared" si="5"/>
        <v>6</v>
      </c>
      <c r="F15" s="192"/>
      <c r="G15" s="192"/>
      <c r="H15" s="192"/>
      <c r="I15" s="192"/>
      <c r="J15" s="193">
        <f t="shared" ref="J15:J22" si="9">SUM(F15:I15)</f>
        <v>0</v>
      </c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3">
        <f t="shared" si="1"/>
        <v>0</v>
      </c>
      <c r="AD15" s="192"/>
      <c r="AE15" s="192"/>
      <c r="AF15" s="192"/>
      <c r="AG15" s="193">
        <f t="shared" si="6"/>
        <v>0</v>
      </c>
      <c r="AH15" s="192"/>
      <c r="AI15" s="192"/>
      <c r="AJ15" s="192"/>
      <c r="AK15" s="194"/>
      <c r="AL15" s="192"/>
      <c r="AM15" s="195"/>
      <c r="AN15" s="196"/>
      <c r="AO15" s="192"/>
      <c r="AP15" s="192"/>
      <c r="AQ15" s="193">
        <f t="shared" si="2"/>
        <v>0</v>
      </c>
      <c r="AR15" s="192">
        <v>6</v>
      </c>
      <c r="AS15" s="192">
        <v>9</v>
      </c>
      <c r="AT15" s="192">
        <v>6</v>
      </c>
      <c r="AU15" s="198">
        <f t="shared" si="7"/>
        <v>6</v>
      </c>
      <c r="AV15" s="198">
        <f t="shared" si="8"/>
        <v>15</v>
      </c>
      <c r="AW15" s="193">
        <f t="shared" si="3"/>
        <v>21</v>
      </c>
    </row>
    <row r="16" spans="1:49" x14ac:dyDescent="0.3">
      <c r="A16" s="232"/>
      <c r="B16" s="46" t="s">
        <v>152</v>
      </c>
      <c r="C16" s="224">
        <v>22</v>
      </c>
      <c r="D16" s="177"/>
      <c r="E16" s="178">
        <f t="shared" si="5"/>
        <v>22</v>
      </c>
      <c r="F16" s="178">
        <v>5</v>
      </c>
      <c r="G16" s="178">
        <v>3</v>
      </c>
      <c r="H16" s="178"/>
      <c r="I16" s="178">
        <v>1</v>
      </c>
      <c r="J16" s="180">
        <f t="shared" si="9"/>
        <v>9</v>
      </c>
      <c r="K16" s="178">
        <v>5</v>
      </c>
      <c r="L16" s="178">
        <v>3</v>
      </c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>
        <v>2</v>
      </c>
      <c r="Z16" s="178"/>
      <c r="AA16" s="178">
        <v>2</v>
      </c>
      <c r="AB16" s="178"/>
      <c r="AC16" s="180">
        <f t="shared" si="1"/>
        <v>12</v>
      </c>
      <c r="AD16" s="178"/>
      <c r="AE16" s="178"/>
      <c r="AF16" s="178"/>
      <c r="AG16" s="180">
        <f t="shared" si="6"/>
        <v>21</v>
      </c>
      <c r="AH16" s="178"/>
      <c r="AI16" s="178"/>
      <c r="AJ16" s="178"/>
      <c r="AK16" s="199">
        <v>5</v>
      </c>
      <c r="AL16" s="178"/>
      <c r="AM16" s="181"/>
      <c r="AN16" s="182"/>
      <c r="AO16" s="178"/>
      <c r="AP16" s="178"/>
      <c r="AQ16" s="180">
        <f t="shared" si="2"/>
        <v>5</v>
      </c>
      <c r="AR16" s="183"/>
      <c r="AS16" s="183"/>
      <c r="AT16" s="183"/>
      <c r="AU16" s="179">
        <f t="shared" si="7"/>
        <v>22</v>
      </c>
      <c r="AV16" s="179">
        <f t="shared" si="8"/>
        <v>4</v>
      </c>
      <c r="AW16" s="180">
        <f t="shared" si="3"/>
        <v>26</v>
      </c>
    </row>
    <row r="17" spans="1:49" x14ac:dyDescent="0.3">
      <c r="A17" s="232"/>
      <c r="B17" s="46" t="s">
        <v>153</v>
      </c>
      <c r="C17" s="224">
        <v>32</v>
      </c>
      <c r="D17" s="177"/>
      <c r="E17" s="178">
        <f t="shared" si="5"/>
        <v>32</v>
      </c>
      <c r="F17" s="178">
        <v>7</v>
      </c>
      <c r="G17" s="178">
        <v>4</v>
      </c>
      <c r="H17" s="178"/>
      <c r="I17" s="178">
        <v>2</v>
      </c>
      <c r="J17" s="180">
        <f t="shared" si="9"/>
        <v>13</v>
      </c>
      <c r="K17" s="178">
        <v>6</v>
      </c>
      <c r="L17" s="178">
        <v>4</v>
      </c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>
        <v>2</v>
      </c>
      <c r="X17" s="178"/>
      <c r="Y17" s="178">
        <v>1</v>
      </c>
      <c r="Z17" s="178"/>
      <c r="AA17" s="178">
        <v>2</v>
      </c>
      <c r="AB17" s="178"/>
      <c r="AC17" s="180">
        <f t="shared" si="1"/>
        <v>15</v>
      </c>
      <c r="AD17" s="178"/>
      <c r="AE17" s="178"/>
      <c r="AF17" s="178"/>
      <c r="AG17" s="180">
        <f t="shared" si="6"/>
        <v>28</v>
      </c>
      <c r="AH17" s="178"/>
      <c r="AI17" s="178"/>
      <c r="AJ17" s="178"/>
      <c r="AK17" s="199">
        <v>7</v>
      </c>
      <c r="AL17" s="178"/>
      <c r="AM17" s="181"/>
      <c r="AN17" s="182"/>
      <c r="AO17" s="178"/>
      <c r="AP17" s="178"/>
      <c r="AQ17" s="180">
        <f t="shared" si="2"/>
        <v>7</v>
      </c>
      <c r="AR17" s="183"/>
      <c r="AS17" s="183"/>
      <c r="AT17" s="183"/>
      <c r="AU17" s="179">
        <f t="shared" si="7"/>
        <v>32</v>
      </c>
      <c r="AV17" s="179">
        <f t="shared" si="8"/>
        <v>3</v>
      </c>
      <c r="AW17" s="180">
        <f t="shared" si="3"/>
        <v>35</v>
      </c>
    </row>
    <row r="18" spans="1:49" x14ac:dyDescent="0.3">
      <c r="A18" s="232"/>
      <c r="B18" s="46" t="s">
        <v>234</v>
      </c>
      <c r="C18" s="224">
        <v>28</v>
      </c>
      <c r="D18" s="177"/>
      <c r="E18" s="178">
        <f t="shared" si="5"/>
        <v>28</v>
      </c>
      <c r="F18" s="178">
        <v>6</v>
      </c>
      <c r="G18" s="178">
        <v>3</v>
      </c>
      <c r="H18" s="178"/>
      <c r="I18" s="178">
        <v>1</v>
      </c>
      <c r="J18" s="180">
        <f t="shared" si="9"/>
        <v>10</v>
      </c>
      <c r="K18" s="178">
        <v>8</v>
      </c>
      <c r="L18" s="178">
        <v>5</v>
      </c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>
        <v>1</v>
      </c>
      <c r="Z18" s="178"/>
      <c r="AA18" s="178">
        <v>1</v>
      </c>
      <c r="AB18" s="178"/>
      <c r="AC18" s="180">
        <f t="shared" si="1"/>
        <v>15</v>
      </c>
      <c r="AD18" s="178"/>
      <c r="AE18" s="178"/>
      <c r="AF18" s="178"/>
      <c r="AG18" s="180">
        <f t="shared" si="6"/>
        <v>25</v>
      </c>
      <c r="AH18" s="178"/>
      <c r="AI18" s="178"/>
      <c r="AJ18" s="178"/>
      <c r="AK18" s="199">
        <v>5</v>
      </c>
      <c r="AL18" s="178"/>
      <c r="AM18" s="181"/>
      <c r="AN18" s="182"/>
      <c r="AO18" s="178"/>
      <c r="AP18" s="178"/>
      <c r="AQ18" s="180">
        <f t="shared" si="2"/>
        <v>5</v>
      </c>
      <c r="AR18" s="183"/>
      <c r="AS18" s="183"/>
      <c r="AT18" s="183"/>
      <c r="AU18" s="179">
        <f t="shared" si="7"/>
        <v>28</v>
      </c>
      <c r="AV18" s="179">
        <f t="shared" si="8"/>
        <v>2</v>
      </c>
      <c r="AW18" s="180">
        <f t="shared" si="3"/>
        <v>30</v>
      </c>
    </row>
    <row r="19" spans="1:49" x14ac:dyDescent="0.3">
      <c r="A19" s="232"/>
      <c r="B19" s="46" t="s">
        <v>235</v>
      </c>
      <c r="C19" s="224">
        <v>24</v>
      </c>
      <c r="D19" s="177"/>
      <c r="E19" s="178">
        <f t="shared" si="5"/>
        <v>24</v>
      </c>
      <c r="F19" s="178">
        <v>3</v>
      </c>
      <c r="G19" s="178">
        <v>4</v>
      </c>
      <c r="H19" s="178">
        <v>5</v>
      </c>
      <c r="I19" s="178">
        <v>1</v>
      </c>
      <c r="J19" s="180">
        <f t="shared" si="9"/>
        <v>13</v>
      </c>
      <c r="K19" s="178">
        <v>5</v>
      </c>
      <c r="L19" s="178">
        <v>4</v>
      </c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>
        <v>1</v>
      </c>
      <c r="Z19" s="178"/>
      <c r="AA19" s="178">
        <v>2</v>
      </c>
      <c r="AB19" s="178"/>
      <c r="AC19" s="180">
        <f t="shared" si="1"/>
        <v>12</v>
      </c>
      <c r="AD19" s="178"/>
      <c r="AE19" s="178"/>
      <c r="AF19" s="178"/>
      <c r="AG19" s="180">
        <f t="shared" si="6"/>
        <v>25</v>
      </c>
      <c r="AH19" s="178"/>
      <c r="AI19" s="178"/>
      <c r="AJ19" s="178"/>
      <c r="AK19" s="199">
        <v>2</v>
      </c>
      <c r="AL19" s="178"/>
      <c r="AM19" s="181"/>
      <c r="AN19" s="182"/>
      <c r="AO19" s="178"/>
      <c r="AP19" s="178"/>
      <c r="AQ19" s="180">
        <f t="shared" si="2"/>
        <v>2</v>
      </c>
      <c r="AR19" s="183"/>
      <c r="AS19" s="183"/>
      <c r="AT19" s="183"/>
      <c r="AU19" s="179">
        <f t="shared" si="7"/>
        <v>24</v>
      </c>
      <c r="AV19" s="179">
        <f t="shared" si="8"/>
        <v>3</v>
      </c>
      <c r="AW19" s="180">
        <f t="shared" si="3"/>
        <v>27</v>
      </c>
    </row>
    <row r="20" spans="1:49" x14ac:dyDescent="0.3">
      <c r="A20" s="232"/>
      <c r="B20" s="46" t="s">
        <v>49</v>
      </c>
      <c r="C20" s="224">
        <v>23</v>
      </c>
      <c r="D20" s="177"/>
      <c r="E20" s="178">
        <f t="shared" si="5"/>
        <v>23</v>
      </c>
      <c r="F20" s="178">
        <v>6</v>
      </c>
      <c r="G20" s="178">
        <v>3</v>
      </c>
      <c r="H20" s="178"/>
      <c r="I20" s="178">
        <v>1</v>
      </c>
      <c r="J20" s="180">
        <f t="shared" si="9"/>
        <v>10</v>
      </c>
      <c r="K20" s="178">
        <v>6</v>
      </c>
      <c r="L20" s="178">
        <v>3</v>
      </c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>
        <v>2</v>
      </c>
      <c r="Z20" s="178"/>
      <c r="AA20" s="178">
        <v>2</v>
      </c>
      <c r="AB20" s="178"/>
      <c r="AC20" s="180">
        <f t="shared" si="1"/>
        <v>13</v>
      </c>
      <c r="AD20" s="178"/>
      <c r="AE20" s="178"/>
      <c r="AF20" s="178"/>
      <c r="AG20" s="180">
        <f t="shared" si="6"/>
        <v>23</v>
      </c>
      <c r="AH20" s="178"/>
      <c r="AI20" s="178"/>
      <c r="AJ20" s="178"/>
      <c r="AK20" s="199">
        <v>4</v>
      </c>
      <c r="AL20" s="178"/>
      <c r="AM20" s="181"/>
      <c r="AN20" s="182"/>
      <c r="AO20" s="178"/>
      <c r="AP20" s="178"/>
      <c r="AQ20" s="180">
        <f t="shared" si="2"/>
        <v>4</v>
      </c>
      <c r="AR20" s="183"/>
      <c r="AS20" s="183"/>
      <c r="AT20" s="183"/>
      <c r="AU20" s="179">
        <f t="shared" si="7"/>
        <v>23</v>
      </c>
      <c r="AV20" s="179">
        <f t="shared" si="8"/>
        <v>4</v>
      </c>
      <c r="AW20" s="180">
        <f t="shared" si="3"/>
        <v>27</v>
      </c>
    </row>
    <row r="21" spans="1:49" x14ac:dyDescent="0.3">
      <c r="A21" s="232"/>
      <c r="B21" s="46" t="s">
        <v>236</v>
      </c>
      <c r="C21" s="224">
        <v>55</v>
      </c>
      <c r="D21" s="177"/>
      <c r="E21" s="178">
        <f t="shared" si="5"/>
        <v>55</v>
      </c>
      <c r="F21" s="178">
        <v>12</v>
      </c>
      <c r="G21" s="178">
        <v>8</v>
      </c>
      <c r="H21" s="178"/>
      <c r="I21" s="178">
        <v>3</v>
      </c>
      <c r="J21" s="180">
        <f t="shared" si="9"/>
        <v>23</v>
      </c>
      <c r="K21" s="178">
        <v>16</v>
      </c>
      <c r="L21" s="178">
        <v>7</v>
      </c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>
        <v>3</v>
      </c>
      <c r="X21" s="178"/>
      <c r="Y21" s="178">
        <v>2</v>
      </c>
      <c r="Z21" s="178"/>
      <c r="AA21" s="202">
        <v>1</v>
      </c>
      <c r="AB21" s="178"/>
      <c r="AC21" s="180">
        <f t="shared" si="1"/>
        <v>29</v>
      </c>
      <c r="AD21" s="178"/>
      <c r="AE21" s="178"/>
      <c r="AF21" s="178"/>
      <c r="AG21" s="180">
        <f t="shared" si="6"/>
        <v>52</v>
      </c>
      <c r="AH21" s="178"/>
      <c r="AI21" s="178"/>
      <c r="AJ21" s="178"/>
      <c r="AK21" s="199">
        <v>6</v>
      </c>
      <c r="AL21" s="178"/>
      <c r="AM21" s="181"/>
      <c r="AN21" s="182"/>
      <c r="AO21" s="178"/>
      <c r="AP21" s="178"/>
      <c r="AQ21" s="180">
        <f t="shared" si="2"/>
        <v>6</v>
      </c>
      <c r="AR21" s="183"/>
      <c r="AS21" s="183"/>
      <c r="AT21" s="183"/>
      <c r="AU21" s="179">
        <f t="shared" si="7"/>
        <v>55</v>
      </c>
      <c r="AV21" s="179">
        <f t="shared" si="8"/>
        <v>3</v>
      </c>
      <c r="AW21" s="180">
        <f t="shared" si="3"/>
        <v>58</v>
      </c>
    </row>
    <row r="22" spans="1:49" x14ac:dyDescent="0.3">
      <c r="A22" s="233"/>
      <c r="B22" s="46" t="s">
        <v>237</v>
      </c>
      <c r="C22" s="224">
        <v>26</v>
      </c>
      <c r="D22" s="177"/>
      <c r="E22" s="178">
        <f t="shared" si="5"/>
        <v>26</v>
      </c>
      <c r="F22" s="178"/>
      <c r="G22" s="178"/>
      <c r="H22" s="178"/>
      <c r="I22" s="178"/>
      <c r="J22" s="180">
        <f t="shared" si="9"/>
        <v>0</v>
      </c>
      <c r="K22" s="178">
        <v>13</v>
      </c>
      <c r="L22" s="178">
        <v>8</v>
      </c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80">
        <f t="shared" si="1"/>
        <v>21</v>
      </c>
      <c r="AD22" s="178"/>
      <c r="AE22" s="178"/>
      <c r="AF22" s="178"/>
      <c r="AG22" s="180">
        <f t="shared" si="6"/>
        <v>21</v>
      </c>
      <c r="AH22" s="178">
        <v>5</v>
      </c>
      <c r="AI22" s="178"/>
      <c r="AJ22" s="178"/>
      <c r="AK22" s="199"/>
      <c r="AL22" s="178"/>
      <c r="AM22" s="181"/>
      <c r="AN22" s="182"/>
      <c r="AO22" s="178"/>
      <c r="AP22" s="178"/>
      <c r="AQ22" s="180">
        <f t="shared" si="2"/>
        <v>5</v>
      </c>
      <c r="AR22" s="183"/>
      <c r="AS22" s="183"/>
      <c r="AT22" s="183"/>
      <c r="AU22" s="179">
        <f t="shared" si="7"/>
        <v>26</v>
      </c>
      <c r="AV22" s="179">
        <f t="shared" si="8"/>
        <v>0</v>
      </c>
      <c r="AW22" s="180">
        <f t="shared" si="3"/>
        <v>26</v>
      </c>
    </row>
    <row r="23" spans="1:49" ht="17.25" thickBot="1" x14ac:dyDescent="0.35">
      <c r="A23" s="229" t="s">
        <v>36</v>
      </c>
      <c r="B23" s="184" t="s">
        <v>125</v>
      </c>
      <c r="C23" s="185">
        <f>SUM(C14:C22)</f>
        <v>259</v>
      </c>
      <c r="D23" s="185">
        <f>SUM(D15:D22)</f>
        <v>0</v>
      </c>
      <c r="E23" s="186">
        <f>SUM(E14:E22)</f>
        <v>259</v>
      </c>
      <c r="F23" s="186">
        <f t="shared" ref="F23:AW23" si="10">SUM(F14:F22)</f>
        <v>48</v>
      </c>
      <c r="G23" s="186">
        <f t="shared" si="10"/>
        <v>32</v>
      </c>
      <c r="H23" s="186">
        <f t="shared" si="10"/>
        <v>5</v>
      </c>
      <c r="I23" s="186">
        <f t="shared" si="10"/>
        <v>11</v>
      </c>
      <c r="J23" s="186">
        <f t="shared" si="10"/>
        <v>96</v>
      </c>
      <c r="K23" s="186">
        <f t="shared" si="10"/>
        <v>70</v>
      </c>
      <c r="L23" s="186">
        <f t="shared" si="10"/>
        <v>43</v>
      </c>
      <c r="M23" s="186">
        <f t="shared" si="10"/>
        <v>0</v>
      </c>
      <c r="N23" s="186">
        <f t="shared" si="10"/>
        <v>0</v>
      </c>
      <c r="O23" s="186">
        <f t="shared" si="10"/>
        <v>0</v>
      </c>
      <c r="P23" s="186">
        <f t="shared" si="10"/>
        <v>0</v>
      </c>
      <c r="Q23" s="186">
        <f t="shared" si="10"/>
        <v>0</v>
      </c>
      <c r="R23" s="186">
        <f t="shared" si="10"/>
        <v>0</v>
      </c>
      <c r="S23" s="186">
        <f t="shared" si="10"/>
        <v>0</v>
      </c>
      <c r="T23" s="186">
        <f t="shared" si="10"/>
        <v>0</v>
      </c>
      <c r="U23" s="186">
        <f t="shared" si="10"/>
        <v>0</v>
      </c>
      <c r="V23" s="186">
        <f t="shared" si="10"/>
        <v>0</v>
      </c>
      <c r="W23" s="186">
        <f t="shared" si="10"/>
        <v>5</v>
      </c>
      <c r="X23" s="186">
        <f t="shared" si="10"/>
        <v>0</v>
      </c>
      <c r="Y23" s="186">
        <f t="shared" si="10"/>
        <v>11</v>
      </c>
      <c r="Z23" s="186">
        <f t="shared" si="10"/>
        <v>0</v>
      </c>
      <c r="AA23" s="186">
        <f t="shared" si="10"/>
        <v>12</v>
      </c>
      <c r="AB23" s="186">
        <f t="shared" si="10"/>
        <v>0</v>
      </c>
      <c r="AC23" s="186">
        <f t="shared" si="10"/>
        <v>141</v>
      </c>
      <c r="AD23" s="186">
        <f t="shared" si="10"/>
        <v>0</v>
      </c>
      <c r="AE23" s="186">
        <f t="shared" si="10"/>
        <v>0</v>
      </c>
      <c r="AF23" s="186">
        <f t="shared" si="10"/>
        <v>0</v>
      </c>
      <c r="AG23" s="186">
        <f t="shared" si="10"/>
        <v>237</v>
      </c>
      <c r="AH23" s="186">
        <f t="shared" si="10"/>
        <v>5</v>
      </c>
      <c r="AI23" s="186">
        <f t="shared" si="10"/>
        <v>0</v>
      </c>
      <c r="AJ23" s="186">
        <f t="shared" si="10"/>
        <v>0</v>
      </c>
      <c r="AK23" s="186">
        <f t="shared" si="10"/>
        <v>34</v>
      </c>
      <c r="AL23" s="186">
        <f t="shared" si="10"/>
        <v>0</v>
      </c>
      <c r="AM23" s="186">
        <f t="shared" si="10"/>
        <v>0</v>
      </c>
      <c r="AN23" s="186">
        <f t="shared" si="10"/>
        <v>0</v>
      </c>
      <c r="AO23" s="186">
        <f t="shared" si="10"/>
        <v>0</v>
      </c>
      <c r="AP23" s="186">
        <f t="shared" si="10"/>
        <v>0</v>
      </c>
      <c r="AQ23" s="186">
        <f t="shared" si="10"/>
        <v>39</v>
      </c>
      <c r="AR23" s="186">
        <f t="shared" si="10"/>
        <v>6</v>
      </c>
      <c r="AS23" s="186">
        <f t="shared" si="10"/>
        <v>9</v>
      </c>
      <c r="AT23" s="186">
        <f t="shared" si="10"/>
        <v>6</v>
      </c>
      <c r="AU23" s="186">
        <f t="shared" si="10"/>
        <v>259</v>
      </c>
      <c r="AV23" s="186">
        <f t="shared" si="10"/>
        <v>38</v>
      </c>
      <c r="AW23" s="186">
        <f t="shared" si="10"/>
        <v>297</v>
      </c>
    </row>
    <row r="24" spans="1:49" x14ac:dyDescent="0.3">
      <c r="A24" s="231" t="s">
        <v>51</v>
      </c>
      <c r="B24" s="203" t="s">
        <v>52</v>
      </c>
      <c r="C24" s="225">
        <v>31</v>
      </c>
      <c r="D24" s="201"/>
      <c r="E24" s="192">
        <f>C24+D24</f>
        <v>31</v>
      </c>
      <c r="F24" s="192">
        <v>7</v>
      </c>
      <c r="G24" s="192">
        <v>4</v>
      </c>
      <c r="H24" s="192"/>
      <c r="I24" s="192">
        <v>1</v>
      </c>
      <c r="J24" s="193">
        <f>SUM(F24:I24)</f>
        <v>12</v>
      </c>
      <c r="K24" s="192">
        <v>7</v>
      </c>
      <c r="L24" s="192">
        <v>5</v>
      </c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>
        <v>1</v>
      </c>
      <c r="X24" s="192"/>
      <c r="Y24" s="192">
        <v>2</v>
      </c>
      <c r="Z24" s="192"/>
      <c r="AA24" s="192">
        <v>2</v>
      </c>
      <c r="AB24" s="192"/>
      <c r="AC24" s="193">
        <f t="shared" si="1"/>
        <v>17</v>
      </c>
      <c r="AD24" s="192"/>
      <c r="AE24" s="192"/>
      <c r="AF24" s="192"/>
      <c r="AG24" s="193">
        <f>SUM(F24:I24)+SUM(K24:AB24)+SUM(AD24:AF24)</f>
        <v>29</v>
      </c>
      <c r="AH24" s="192">
        <v>6</v>
      </c>
      <c r="AI24" s="192"/>
      <c r="AJ24" s="192"/>
      <c r="AK24" s="194"/>
      <c r="AL24" s="192"/>
      <c r="AM24" s="195"/>
      <c r="AN24" s="196"/>
      <c r="AO24" s="192"/>
      <c r="AP24" s="192"/>
      <c r="AQ24" s="193">
        <f t="shared" si="2"/>
        <v>6</v>
      </c>
      <c r="AR24" s="197"/>
      <c r="AS24" s="197"/>
      <c r="AT24" s="197"/>
      <c r="AU24" s="198">
        <f>SUM(F24:I24)+SUM(K24:X24)+SUM(AD24:AF24)+SUM(AH24:AP24)+AR24</f>
        <v>31</v>
      </c>
      <c r="AV24" s="198">
        <f>SUM(Y24:AB24)+SUM(AS24:AT24)</f>
        <v>4</v>
      </c>
      <c r="AW24" s="193">
        <f t="shared" si="3"/>
        <v>35</v>
      </c>
    </row>
    <row r="25" spans="1:49" x14ac:dyDescent="0.3">
      <c r="A25" s="232"/>
      <c r="B25" s="6" t="s">
        <v>53</v>
      </c>
      <c r="C25" s="224">
        <v>37</v>
      </c>
      <c r="D25" s="177"/>
      <c r="E25" s="178">
        <f>C25+D25</f>
        <v>37</v>
      </c>
      <c r="F25" s="178">
        <v>8</v>
      </c>
      <c r="G25" s="178">
        <v>5</v>
      </c>
      <c r="H25" s="178"/>
      <c r="I25" s="178">
        <v>2</v>
      </c>
      <c r="J25" s="180">
        <f>SUM(F25:I25)</f>
        <v>15</v>
      </c>
      <c r="K25" s="178">
        <v>8</v>
      </c>
      <c r="L25" s="178">
        <v>5</v>
      </c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>
        <v>2</v>
      </c>
      <c r="X25" s="178"/>
      <c r="Y25" s="178">
        <v>2</v>
      </c>
      <c r="Z25" s="178"/>
      <c r="AA25" s="178">
        <v>2</v>
      </c>
      <c r="AB25" s="178"/>
      <c r="AC25" s="180">
        <f t="shared" si="1"/>
        <v>19</v>
      </c>
      <c r="AD25" s="178"/>
      <c r="AE25" s="178"/>
      <c r="AF25" s="178"/>
      <c r="AG25" s="180">
        <f>SUM(F25:I25)+SUM(K25:AB25)+SUM(AD25:AF25)</f>
        <v>34</v>
      </c>
      <c r="AH25" s="178">
        <v>7</v>
      </c>
      <c r="AI25" s="178"/>
      <c r="AJ25" s="178"/>
      <c r="AK25" s="199"/>
      <c r="AL25" s="178"/>
      <c r="AM25" s="181"/>
      <c r="AN25" s="182"/>
      <c r="AO25" s="178"/>
      <c r="AP25" s="178"/>
      <c r="AQ25" s="180">
        <f t="shared" si="2"/>
        <v>7</v>
      </c>
      <c r="AR25" s="183"/>
      <c r="AS25" s="183"/>
      <c r="AT25" s="183"/>
      <c r="AU25" s="179">
        <f>SUM(F25:I25)+SUM(K25:X25)+SUM(AD25:AF25)+SUM(AH25:AP25)+AR25</f>
        <v>37</v>
      </c>
      <c r="AV25" s="179">
        <f>SUM(Y25:AB25)+SUM(AS25:AT25)</f>
        <v>4</v>
      </c>
      <c r="AW25" s="180">
        <f t="shared" si="3"/>
        <v>41</v>
      </c>
    </row>
    <row r="26" spans="1:49" x14ac:dyDescent="0.3">
      <c r="A26" s="232"/>
      <c r="B26" s="6" t="s">
        <v>54</v>
      </c>
      <c r="C26" s="224">
        <v>42</v>
      </c>
      <c r="D26" s="177"/>
      <c r="E26" s="178">
        <f>C26+D26</f>
        <v>42</v>
      </c>
      <c r="F26" s="178">
        <v>10</v>
      </c>
      <c r="G26" s="178">
        <v>5</v>
      </c>
      <c r="H26" s="178"/>
      <c r="I26" s="178">
        <v>2</v>
      </c>
      <c r="J26" s="180">
        <f>SUM(F26:I26)</f>
        <v>17</v>
      </c>
      <c r="K26" s="178">
        <v>9</v>
      </c>
      <c r="L26" s="178">
        <v>5</v>
      </c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>
        <v>2</v>
      </c>
      <c r="X26" s="178"/>
      <c r="Y26" s="178">
        <v>2</v>
      </c>
      <c r="Z26" s="178"/>
      <c r="AA26" s="178">
        <v>2</v>
      </c>
      <c r="AB26" s="178"/>
      <c r="AC26" s="180">
        <f t="shared" si="1"/>
        <v>20</v>
      </c>
      <c r="AD26" s="178"/>
      <c r="AE26" s="178"/>
      <c r="AF26" s="178"/>
      <c r="AG26" s="180">
        <f>SUM(F26:I26)+SUM(K26:AB26)+SUM(AD26:AF26)</f>
        <v>37</v>
      </c>
      <c r="AH26" s="178">
        <v>9</v>
      </c>
      <c r="AI26" s="178"/>
      <c r="AJ26" s="178"/>
      <c r="AK26" s="199"/>
      <c r="AL26" s="178"/>
      <c r="AM26" s="181"/>
      <c r="AN26" s="182"/>
      <c r="AO26" s="178"/>
      <c r="AP26" s="178"/>
      <c r="AQ26" s="180">
        <f t="shared" si="2"/>
        <v>9</v>
      </c>
      <c r="AR26" s="183"/>
      <c r="AS26" s="183"/>
      <c r="AT26" s="183"/>
      <c r="AU26" s="179">
        <f>SUM(F26:I26)+SUM(K26:X26)+SUM(AD26:AF26)+SUM(AH26:AP26)+AR26</f>
        <v>42</v>
      </c>
      <c r="AV26" s="179">
        <f>SUM(Y26:AB26)+SUM(AS26:AT26)</f>
        <v>4</v>
      </c>
      <c r="AW26" s="180">
        <f t="shared" si="3"/>
        <v>46</v>
      </c>
    </row>
    <row r="27" spans="1:49" x14ac:dyDescent="0.3">
      <c r="A27" s="233"/>
      <c r="B27" s="46" t="s">
        <v>238</v>
      </c>
      <c r="C27" s="224">
        <v>13</v>
      </c>
      <c r="D27" s="177"/>
      <c r="E27" s="178">
        <f>C27+D27</f>
        <v>13</v>
      </c>
      <c r="F27" s="178"/>
      <c r="G27" s="178"/>
      <c r="H27" s="178"/>
      <c r="I27" s="178"/>
      <c r="J27" s="180">
        <f>SUM(F27:I27)</f>
        <v>0</v>
      </c>
      <c r="K27" s="178">
        <v>5</v>
      </c>
      <c r="L27" s="178">
        <v>4</v>
      </c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80">
        <f t="shared" si="1"/>
        <v>9</v>
      </c>
      <c r="AD27" s="178"/>
      <c r="AE27" s="178"/>
      <c r="AF27" s="178"/>
      <c r="AG27" s="180">
        <f>SUM(F27:I27)+SUM(K27:AB27)+SUM(AD27:AF27)</f>
        <v>9</v>
      </c>
      <c r="AH27" s="178"/>
      <c r="AI27" s="178"/>
      <c r="AJ27" s="178"/>
      <c r="AK27" s="199">
        <v>4</v>
      </c>
      <c r="AL27" s="178"/>
      <c r="AM27" s="181"/>
      <c r="AN27" s="182"/>
      <c r="AO27" s="178"/>
      <c r="AP27" s="178"/>
      <c r="AQ27" s="180">
        <f t="shared" si="2"/>
        <v>4</v>
      </c>
      <c r="AR27" s="183"/>
      <c r="AS27" s="183"/>
      <c r="AT27" s="183"/>
      <c r="AU27" s="179">
        <f>SUM(F27:I27)+SUM(K27:X27)+SUM(AD27:AF27)+SUM(AH27:AP27)+AR27</f>
        <v>13</v>
      </c>
      <c r="AV27" s="179">
        <f>SUM(Y27:AB27)+SUM(AS27:AT27)</f>
        <v>0</v>
      </c>
      <c r="AW27" s="180">
        <f t="shared" si="3"/>
        <v>13</v>
      </c>
    </row>
    <row r="28" spans="1:49" ht="17.25" thickBot="1" x14ac:dyDescent="0.35">
      <c r="A28" s="229" t="s">
        <v>36</v>
      </c>
      <c r="B28" s="184" t="s">
        <v>126</v>
      </c>
      <c r="C28" s="185">
        <f t="shared" ref="C28:AW28" si="11">SUM(C24:C27)</f>
        <v>123</v>
      </c>
      <c r="D28" s="185">
        <f t="shared" si="11"/>
        <v>0</v>
      </c>
      <c r="E28" s="186">
        <f t="shared" si="11"/>
        <v>123</v>
      </c>
      <c r="F28" s="186">
        <f t="shared" si="11"/>
        <v>25</v>
      </c>
      <c r="G28" s="186">
        <f t="shared" si="11"/>
        <v>14</v>
      </c>
      <c r="H28" s="186">
        <f t="shared" si="11"/>
        <v>0</v>
      </c>
      <c r="I28" s="186">
        <f t="shared" si="11"/>
        <v>5</v>
      </c>
      <c r="J28" s="186">
        <f t="shared" si="11"/>
        <v>44</v>
      </c>
      <c r="K28" s="186">
        <f t="shared" si="11"/>
        <v>29</v>
      </c>
      <c r="L28" s="186">
        <f t="shared" si="11"/>
        <v>19</v>
      </c>
      <c r="M28" s="186">
        <f t="shared" si="11"/>
        <v>0</v>
      </c>
      <c r="N28" s="186">
        <f t="shared" si="11"/>
        <v>0</v>
      </c>
      <c r="O28" s="186">
        <f t="shared" si="11"/>
        <v>0</v>
      </c>
      <c r="P28" s="186">
        <f t="shared" si="11"/>
        <v>0</v>
      </c>
      <c r="Q28" s="186">
        <f t="shared" si="11"/>
        <v>0</v>
      </c>
      <c r="R28" s="186">
        <f t="shared" si="11"/>
        <v>0</v>
      </c>
      <c r="S28" s="186">
        <f t="shared" si="11"/>
        <v>0</v>
      </c>
      <c r="T28" s="186">
        <f t="shared" si="11"/>
        <v>0</v>
      </c>
      <c r="U28" s="186">
        <f t="shared" si="11"/>
        <v>0</v>
      </c>
      <c r="V28" s="186">
        <f t="shared" si="11"/>
        <v>0</v>
      </c>
      <c r="W28" s="186">
        <f t="shared" si="11"/>
        <v>5</v>
      </c>
      <c r="X28" s="186">
        <f t="shared" si="11"/>
        <v>0</v>
      </c>
      <c r="Y28" s="186">
        <f t="shared" si="11"/>
        <v>6</v>
      </c>
      <c r="Z28" s="186">
        <f t="shared" si="11"/>
        <v>0</v>
      </c>
      <c r="AA28" s="186">
        <f t="shared" si="11"/>
        <v>6</v>
      </c>
      <c r="AB28" s="186">
        <f t="shared" si="11"/>
        <v>0</v>
      </c>
      <c r="AC28" s="186">
        <f t="shared" si="11"/>
        <v>65</v>
      </c>
      <c r="AD28" s="186">
        <f t="shared" si="11"/>
        <v>0</v>
      </c>
      <c r="AE28" s="186">
        <f t="shared" si="11"/>
        <v>0</v>
      </c>
      <c r="AF28" s="186">
        <f t="shared" si="11"/>
        <v>0</v>
      </c>
      <c r="AG28" s="186">
        <f t="shared" si="11"/>
        <v>109</v>
      </c>
      <c r="AH28" s="186">
        <f t="shared" si="11"/>
        <v>22</v>
      </c>
      <c r="AI28" s="186">
        <f t="shared" si="11"/>
        <v>0</v>
      </c>
      <c r="AJ28" s="186">
        <f t="shared" si="11"/>
        <v>0</v>
      </c>
      <c r="AK28" s="187">
        <f t="shared" si="11"/>
        <v>4</v>
      </c>
      <c r="AL28" s="186">
        <f t="shared" si="11"/>
        <v>0</v>
      </c>
      <c r="AM28" s="188">
        <f t="shared" si="11"/>
        <v>0</v>
      </c>
      <c r="AN28" s="189">
        <f t="shared" si="11"/>
        <v>0</v>
      </c>
      <c r="AO28" s="186">
        <f t="shared" si="11"/>
        <v>0</v>
      </c>
      <c r="AP28" s="186">
        <f t="shared" si="11"/>
        <v>0</v>
      </c>
      <c r="AQ28" s="186">
        <f t="shared" si="11"/>
        <v>26</v>
      </c>
      <c r="AR28" s="186">
        <f t="shared" si="11"/>
        <v>0</v>
      </c>
      <c r="AS28" s="186">
        <f t="shared" si="11"/>
        <v>0</v>
      </c>
      <c r="AT28" s="186">
        <f t="shared" si="11"/>
        <v>0</v>
      </c>
      <c r="AU28" s="186">
        <f t="shared" si="11"/>
        <v>123</v>
      </c>
      <c r="AV28" s="186">
        <f t="shared" si="11"/>
        <v>12</v>
      </c>
      <c r="AW28" s="186">
        <f t="shared" si="11"/>
        <v>135</v>
      </c>
    </row>
    <row r="29" spans="1:49" x14ac:dyDescent="0.3">
      <c r="A29" s="231" t="s">
        <v>127</v>
      </c>
      <c r="B29" s="200" t="s">
        <v>56</v>
      </c>
      <c r="C29" s="225">
        <v>22</v>
      </c>
      <c r="D29" s="201"/>
      <c r="E29" s="192">
        <f t="shared" ref="E29:E44" si="12">C29+D29</f>
        <v>22</v>
      </c>
      <c r="F29" s="192">
        <v>5</v>
      </c>
      <c r="G29" s="192">
        <v>3</v>
      </c>
      <c r="H29" s="192"/>
      <c r="I29" s="192">
        <v>2</v>
      </c>
      <c r="J29" s="193">
        <f t="shared" ref="J29:J44" si="13">SUM(F29:I29)</f>
        <v>10</v>
      </c>
      <c r="K29" s="192">
        <v>4</v>
      </c>
      <c r="L29" s="192">
        <v>4</v>
      </c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>
        <v>2</v>
      </c>
      <c r="Z29" s="192"/>
      <c r="AA29" s="192"/>
      <c r="AB29" s="192" t="s">
        <v>39</v>
      </c>
      <c r="AC29" s="193">
        <f t="shared" si="1"/>
        <v>10</v>
      </c>
      <c r="AD29" s="192"/>
      <c r="AE29" s="192"/>
      <c r="AF29" s="192"/>
      <c r="AG29" s="193">
        <f t="shared" ref="AG29:AG44" si="14">SUM(F29:I29)+SUM(K29:AB29)+SUM(AD29:AF29)</f>
        <v>20</v>
      </c>
      <c r="AH29" s="192">
        <v>4</v>
      </c>
      <c r="AI29" s="192"/>
      <c r="AJ29" s="192"/>
      <c r="AK29" s="194"/>
      <c r="AL29" s="192"/>
      <c r="AM29" s="195"/>
      <c r="AN29" s="196"/>
      <c r="AO29" s="192"/>
      <c r="AP29" s="192"/>
      <c r="AQ29" s="193">
        <f t="shared" si="2"/>
        <v>4</v>
      </c>
      <c r="AR29" s="197"/>
      <c r="AS29" s="197"/>
      <c r="AT29" s="197"/>
      <c r="AU29" s="198">
        <f t="shared" ref="AU29:AU44" si="15">SUM(F29:I29)+SUM(K29:X29)+SUM(AD29:AF29)+SUM(AH29:AP29)+AR29</f>
        <v>22</v>
      </c>
      <c r="AV29" s="198">
        <f t="shared" ref="AV29:AV44" si="16">SUM(Y29:AB29)+SUM(AS29:AT29)</f>
        <v>2</v>
      </c>
      <c r="AW29" s="193">
        <f t="shared" si="3"/>
        <v>24</v>
      </c>
    </row>
    <row r="30" spans="1:49" x14ac:dyDescent="0.3">
      <c r="A30" s="232"/>
      <c r="B30" s="46" t="s">
        <v>239</v>
      </c>
      <c r="C30" s="224">
        <v>24</v>
      </c>
      <c r="D30" s="177"/>
      <c r="E30" s="178">
        <f t="shared" si="12"/>
        <v>24</v>
      </c>
      <c r="F30" s="178">
        <v>5</v>
      </c>
      <c r="G30" s="178">
        <v>3</v>
      </c>
      <c r="H30" s="178"/>
      <c r="I30" s="178">
        <v>1</v>
      </c>
      <c r="J30" s="180">
        <f t="shared" si="13"/>
        <v>9</v>
      </c>
      <c r="K30" s="178">
        <v>6</v>
      </c>
      <c r="L30" s="178">
        <v>4</v>
      </c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>
        <v>1</v>
      </c>
      <c r="X30" s="178"/>
      <c r="Y30" s="178">
        <v>1</v>
      </c>
      <c r="Z30" s="178"/>
      <c r="AA30" s="178">
        <v>1</v>
      </c>
      <c r="AB30" s="178" t="s">
        <v>39</v>
      </c>
      <c r="AC30" s="180">
        <f t="shared" si="1"/>
        <v>13</v>
      </c>
      <c r="AD30" s="178"/>
      <c r="AE30" s="178"/>
      <c r="AF30" s="178"/>
      <c r="AG30" s="180">
        <f t="shared" si="14"/>
        <v>22</v>
      </c>
      <c r="AH30" s="178">
        <v>4</v>
      </c>
      <c r="AI30" s="178"/>
      <c r="AJ30" s="178"/>
      <c r="AK30" s="199"/>
      <c r="AL30" s="178"/>
      <c r="AM30" s="181"/>
      <c r="AN30" s="182"/>
      <c r="AO30" s="178"/>
      <c r="AP30" s="178"/>
      <c r="AQ30" s="180">
        <f t="shared" si="2"/>
        <v>4</v>
      </c>
      <c r="AR30" s="183"/>
      <c r="AS30" s="183"/>
      <c r="AT30" s="183"/>
      <c r="AU30" s="179">
        <f t="shared" si="15"/>
        <v>24</v>
      </c>
      <c r="AV30" s="179">
        <f t="shared" si="16"/>
        <v>2</v>
      </c>
      <c r="AW30" s="180">
        <f t="shared" si="3"/>
        <v>26</v>
      </c>
    </row>
    <row r="31" spans="1:49" x14ac:dyDescent="0.3">
      <c r="A31" s="232"/>
      <c r="B31" s="46" t="s">
        <v>240</v>
      </c>
      <c r="C31" s="224">
        <v>40</v>
      </c>
      <c r="D31" s="177"/>
      <c r="E31" s="178">
        <f t="shared" si="12"/>
        <v>40</v>
      </c>
      <c r="F31" s="178">
        <v>8</v>
      </c>
      <c r="G31" s="178">
        <v>5</v>
      </c>
      <c r="H31" s="178"/>
      <c r="I31" s="178">
        <v>1</v>
      </c>
      <c r="J31" s="180">
        <f t="shared" si="13"/>
        <v>14</v>
      </c>
      <c r="K31" s="178">
        <v>10</v>
      </c>
      <c r="L31" s="178">
        <v>7</v>
      </c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>
        <v>2</v>
      </c>
      <c r="X31" s="178"/>
      <c r="Y31" s="178">
        <v>2</v>
      </c>
      <c r="Z31" s="178"/>
      <c r="AA31" s="178">
        <v>1</v>
      </c>
      <c r="AB31" s="178" t="s">
        <v>39</v>
      </c>
      <c r="AC31" s="180">
        <f t="shared" si="1"/>
        <v>22</v>
      </c>
      <c r="AD31" s="178"/>
      <c r="AE31" s="178"/>
      <c r="AF31" s="178"/>
      <c r="AG31" s="180">
        <f t="shared" si="14"/>
        <v>36</v>
      </c>
      <c r="AH31" s="178">
        <v>7</v>
      </c>
      <c r="AI31" s="178"/>
      <c r="AJ31" s="178"/>
      <c r="AK31" s="199"/>
      <c r="AL31" s="178"/>
      <c r="AM31" s="181"/>
      <c r="AN31" s="182"/>
      <c r="AO31" s="178"/>
      <c r="AP31" s="178"/>
      <c r="AQ31" s="180">
        <f t="shared" si="2"/>
        <v>7</v>
      </c>
      <c r="AR31" s="183"/>
      <c r="AS31" s="183"/>
      <c r="AT31" s="183"/>
      <c r="AU31" s="179">
        <f t="shared" si="15"/>
        <v>40</v>
      </c>
      <c r="AV31" s="179">
        <f t="shared" si="16"/>
        <v>3</v>
      </c>
      <c r="AW31" s="180">
        <f t="shared" si="3"/>
        <v>43</v>
      </c>
    </row>
    <row r="32" spans="1:49" x14ac:dyDescent="0.3">
      <c r="A32" s="232"/>
      <c r="B32" s="46" t="s">
        <v>241</v>
      </c>
      <c r="C32" s="224">
        <v>32</v>
      </c>
      <c r="D32" s="177"/>
      <c r="E32" s="178">
        <f t="shared" si="12"/>
        <v>32</v>
      </c>
      <c r="F32" s="178">
        <v>7</v>
      </c>
      <c r="G32" s="178">
        <v>4</v>
      </c>
      <c r="H32" s="178"/>
      <c r="I32" s="178">
        <v>1</v>
      </c>
      <c r="J32" s="180">
        <f t="shared" si="13"/>
        <v>12</v>
      </c>
      <c r="K32" s="178">
        <v>8</v>
      </c>
      <c r="L32" s="178">
        <v>5</v>
      </c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>
        <v>1</v>
      </c>
      <c r="X32" s="178"/>
      <c r="Y32" s="178">
        <v>2</v>
      </c>
      <c r="Z32" s="178"/>
      <c r="AA32" s="178"/>
      <c r="AB32" s="178" t="s">
        <v>39</v>
      </c>
      <c r="AC32" s="180">
        <f t="shared" si="1"/>
        <v>16</v>
      </c>
      <c r="AD32" s="178"/>
      <c r="AE32" s="178"/>
      <c r="AF32" s="178"/>
      <c r="AG32" s="180">
        <f t="shared" si="14"/>
        <v>28</v>
      </c>
      <c r="AH32" s="178">
        <v>6</v>
      </c>
      <c r="AI32" s="178"/>
      <c r="AJ32" s="178"/>
      <c r="AK32" s="199"/>
      <c r="AL32" s="178"/>
      <c r="AM32" s="181"/>
      <c r="AN32" s="182"/>
      <c r="AO32" s="178"/>
      <c r="AP32" s="178"/>
      <c r="AQ32" s="180">
        <f t="shared" si="2"/>
        <v>6</v>
      </c>
      <c r="AR32" s="183"/>
      <c r="AS32" s="183"/>
      <c r="AT32" s="183"/>
      <c r="AU32" s="179">
        <f t="shared" si="15"/>
        <v>32</v>
      </c>
      <c r="AV32" s="179">
        <f t="shared" si="16"/>
        <v>2</v>
      </c>
      <c r="AW32" s="180">
        <f t="shared" si="3"/>
        <v>34</v>
      </c>
    </row>
    <row r="33" spans="1:49" x14ac:dyDescent="0.3">
      <c r="A33" s="232"/>
      <c r="B33" s="46" t="s">
        <v>242</v>
      </c>
      <c r="C33" s="224">
        <v>90</v>
      </c>
      <c r="D33" s="177"/>
      <c r="E33" s="178">
        <f t="shared" si="12"/>
        <v>90</v>
      </c>
      <c r="F33" s="178">
        <v>18</v>
      </c>
      <c r="G33" s="178">
        <v>8</v>
      </c>
      <c r="H33" s="178"/>
      <c r="I33" s="178">
        <v>3</v>
      </c>
      <c r="J33" s="180">
        <f t="shared" si="13"/>
        <v>29</v>
      </c>
      <c r="K33" s="178">
        <v>22</v>
      </c>
      <c r="L33" s="178">
        <v>15</v>
      </c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>
        <v>4</v>
      </c>
      <c r="X33" s="178"/>
      <c r="Y33" s="178">
        <v>4</v>
      </c>
      <c r="Z33" s="178"/>
      <c r="AA33" s="178">
        <v>2</v>
      </c>
      <c r="AB33" s="178" t="s">
        <v>39</v>
      </c>
      <c r="AC33" s="180">
        <f t="shared" si="1"/>
        <v>47</v>
      </c>
      <c r="AD33" s="178"/>
      <c r="AE33" s="178"/>
      <c r="AF33" s="178"/>
      <c r="AG33" s="180">
        <f t="shared" si="14"/>
        <v>76</v>
      </c>
      <c r="AH33" s="178">
        <v>20</v>
      </c>
      <c r="AI33" s="178"/>
      <c r="AJ33" s="178"/>
      <c r="AK33" s="199"/>
      <c r="AL33" s="178"/>
      <c r="AM33" s="181"/>
      <c r="AN33" s="182"/>
      <c r="AO33" s="178"/>
      <c r="AP33" s="178"/>
      <c r="AQ33" s="180">
        <f t="shared" si="2"/>
        <v>20</v>
      </c>
      <c r="AR33" s="183"/>
      <c r="AS33" s="183"/>
      <c r="AT33" s="183"/>
      <c r="AU33" s="179">
        <f t="shared" si="15"/>
        <v>90</v>
      </c>
      <c r="AV33" s="179">
        <f t="shared" si="16"/>
        <v>6</v>
      </c>
      <c r="AW33" s="180">
        <f t="shared" si="3"/>
        <v>96</v>
      </c>
    </row>
    <row r="34" spans="1:49" x14ac:dyDescent="0.3">
      <c r="A34" s="232"/>
      <c r="B34" s="46" t="s">
        <v>58</v>
      </c>
      <c r="C34" s="224">
        <v>35</v>
      </c>
      <c r="D34" s="177"/>
      <c r="E34" s="178">
        <f t="shared" si="12"/>
        <v>35</v>
      </c>
      <c r="F34" s="178">
        <v>8</v>
      </c>
      <c r="G34" s="178">
        <v>4</v>
      </c>
      <c r="H34" s="178"/>
      <c r="I34" s="178">
        <v>2</v>
      </c>
      <c r="J34" s="180">
        <f t="shared" si="13"/>
        <v>14</v>
      </c>
      <c r="K34" s="178">
        <v>9</v>
      </c>
      <c r="L34" s="178">
        <v>6</v>
      </c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>
        <v>2</v>
      </c>
      <c r="Z34" s="178"/>
      <c r="AA34" s="178"/>
      <c r="AB34" s="178" t="s">
        <v>39</v>
      </c>
      <c r="AC34" s="180">
        <f t="shared" si="1"/>
        <v>17</v>
      </c>
      <c r="AD34" s="178"/>
      <c r="AE34" s="178"/>
      <c r="AF34" s="178"/>
      <c r="AG34" s="180">
        <f t="shared" si="14"/>
        <v>31</v>
      </c>
      <c r="AH34" s="178">
        <v>6</v>
      </c>
      <c r="AI34" s="178"/>
      <c r="AJ34" s="178"/>
      <c r="AK34" s="199"/>
      <c r="AL34" s="178"/>
      <c r="AM34" s="181"/>
      <c r="AN34" s="182"/>
      <c r="AO34" s="178"/>
      <c r="AP34" s="178"/>
      <c r="AQ34" s="180">
        <f t="shared" si="2"/>
        <v>6</v>
      </c>
      <c r="AR34" s="183"/>
      <c r="AS34" s="183"/>
      <c r="AT34" s="183"/>
      <c r="AU34" s="179">
        <f t="shared" si="15"/>
        <v>35</v>
      </c>
      <c r="AV34" s="179">
        <f t="shared" si="16"/>
        <v>2</v>
      </c>
      <c r="AW34" s="180">
        <f t="shared" si="3"/>
        <v>37</v>
      </c>
    </row>
    <row r="35" spans="1:49" x14ac:dyDescent="0.3">
      <c r="A35" s="232"/>
      <c r="B35" s="46" t="s">
        <v>154</v>
      </c>
      <c r="C35" s="224">
        <v>26</v>
      </c>
      <c r="D35" s="177"/>
      <c r="E35" s="178">
        <f t="shared" si="12"/>
        <v>26</v>
      </c>
      <c r="F35" s="178">
        <v>5</v>
      </c>
      <c r="G35" s="178">
        <v>3</v>
      </c>
      <c r="H35" s="178"/>
      <c r="I35" s="178">
        <v>1</v>
      </c>
      <c r="J35" s="180">
        <f t="shared" si="13"/>
        <v>9</v>
      </c>
      <c r="K35" s="178">
        <v>7</v>
      </c>
      <c r="L35" s="178">
        <v>4</v>
      </c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>
        <v>1</v>
      </c>
      <c r="X35" s="178"/>
      <c r="Y35" s="178">
        <v>1</v>
      </c>
      <c r="Z35" s="178"/>
      <c r="AA35" s="178"/>
      <c r="AB35" s="178" t="s">
        <v>39</v>
      </c>
      <c r="AC35" s="180">
        <f t="shared" si="1"/>
        <v>13</v>
      </c>
      <c r="AD35" s="178"/>
      <c r="AE35" s="178"/>
      <c r="AF35" s="178"/>
      <c r="AG35" s="180">
        <f t="shared" si="14"/>
        <v>22</v>
      </c>
      <c r="AH35" s="178">
        <v>5</v>
      </c>
      <c r="AI35" s="178"/>
      <c r="AJ35" s="178"/>
      <c r="AK35" s="199"/>
      <c r="AL35" s="178"/>
      <c r="AM35" s="181"/>
      <c r="AN35" s="182"/>
      <c r="AO35" s="178"/>
      <c r="AP35" s="178"/>
      <c r="AQ35" s="180">
        <f t="shared" si="2"/>
        <v>5</v>
      </c>
      <c r="AR35" s="183"/>
      <c r="AS35" s="183"/>
      <c r="AT35" s="183"/>
      <c r="AU35" s="179">
        <f t="shared" si="15"/>
        <v>26</v>
      </c>
      <c r="AV35" s="179">
        <f t="shared" si="16"/>
        <v>1</v>
      </c>
      <c r="AW35" s="180">
        <f t="shared" si="3"/>
        <v>27</v>
      </c>
    </row>
    <row r="36" spans="1:49" x14ac:dyDescent="0.3">
      <c r="A36" s="232"/>
      <c r="B36" s="46" t="s">
        <v>155</v>
      </c>
      <c r="C36" s="224">
        <v>31</v>
      </c>
      <c r="D36" s="177"/>
      <c r="E36" s="178">
        <f t="shared" si="12"/>
        <v>31</v>
      </c>
      <c r="F36" s="178">
        <v>6</v>
      </c>
      <c r="G36" s="178">
        <v>4</v>
      </c>
      <c r="H36" s="178"/>
      <c r="I36" s="178">
        <v>2</v>
      </c>
      <c r="J36" s="180">
        <f t="shared" si="13"/>
        <v>12</v>
      </c>
      <c r="K36" s="178">
        <v>8</v>
      </c>
      <c r="L36" s="178">
        <v>5</v>
      </c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>
        <v>1</v>
      </c>
      <c r="X36" s="178"/>
      <c r="Y36" s="178">
        <v>1</v>
      </c>
      <c r="Z36" s="178"/>
      <c r="AA36" s="178"/>
      <c r="AB36" s="178" t="s">
        <v>39</v>
      </c>
      <c r="AC36" s="180">
        <f t="shared" si="1"/>
        <v>15</v>
      </c>
      <c r="AD36" s="178"/>
      <c r="AE36" s="178"/>
      <c r="AF36" s="178"/>
      <c r="AG36" s="180">
        <f t="shared" si="14"/>
        <v>27</v>
      </c>
      <c r="AH36" s="178">
        <v>5</v>
      </c>
      <c r="AI36" s="178"/>
      <c r="AJ36" s="178"/>
      <c r="AK36" s="199"/>
      <c r="AL36" s="178"/>
      <c r="AM36" s="181"/>
      <c r="AN36" s="182"/>
      <c r="AO36" s="178"/>
      <c r="AP36" s="178"/>
      <c r="AQ36" s="180">
        <f t="shared" si="2"/>
        <v>5</v>
      </c>
      <c r="AR36" s="183"/>
      <c r="AS36" s="183"/>
      <c r="AT36" s="183"/>
      <c r="AU36" s="179">
        <f t="shared" si="15"/>
        <v>31</v>
      </c>
      <c r="AV36" s="179">
        <f t="shared" si="16"/>
        <v>1</v>
      </c>
      <c r="AW36" s="180">
        <f t="shared" si="3"/>
        <v>32</v>
      </c>
    </row>
    <row r="37" spans="1:49" x14ac:dyDescent="0.3">
      <c r="A37" s="232"/>
      <c r="B37" s="46" t="s">
        <v>60</v>
      </c>
      <c r="C37" s="224">
        <v>61</v>
      </c>
      <c r="D37" s="177"/>
      <c r="E37" s="178">
        <f t="shared" si="12"/>
        <v>61</v>
      </c>
      <c r="F37" s="178">
        <v>10</v>
      </c>
      <c r="G37" s="178">
        <v>7</v>
      </c>
      <c r="H37" s="178"/>
      <c r="I37" s="178">
        <v>2</v>
      </c>
      <c r="J37" s="180">
        <f t="shared" si="13"/>
        <v>19</v>
      </c>
      <c r="K37" s="178">
        <v>16</v>
      </c>
      <c r="L37" s="178">
        <v>11</v>
      </c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>
        <v>2</v>
      </c>
      <c r="X37" s="178"/>
      <c r="Y37" s="178">
        <v>3</v>
      </c>
      <c r="Z37" s="178"/>
      <c r="AA37" s="178"/>
      <c r="AB37" s="178" t="s">
        <v>39</v>
      </c>
      <c r="AC37" s="180">
        <f t="shared" si="1"/>
        <v>32</v>
      </c>
      <c r="AD37" s="178"/>
      <c r="AE37" s="178"/>
      <c r="AF37" s="178"/>
      <c r="AG37" s="180">
        <f t="shared" si="14"/>
        <v>51</v>
      </c>
      <c r="AH37" s="178">
        <v>13</v>
      </c>
      <c r="AI37" s="178"/>
      <c r="AJ37" s="178"/>
      <c r="AK37" s="199"/>
      <c r="AL37" s="178"/>
      <c r="AM37" s="181"/>
      <c r="AN37" s="182"/>
      <c r="AO37" s="178"/>
      <c r="AP37" s="178"/>
      <c r="AQ37" s="180">
        <f t="shared" si="2"/>
        <v>13</v>
      </c>
      <c r="AR37" s="183"/>
      <c r="AS37" s="183"/>
      <c r="AT37" s="183"/>
      <c r="AU37" s="179">
        <f t="shared" si="15"/>
        <v>61</v>
      </c>
      <c r="AV37" s="179">
        <f t="shared" si="16"/>
        <v>3</v>
      </c>
      <c r="AW37" s="180">
        <f t="shared" si="3"/>
        <v>64</v>
      </c>
    </row>
    <row r="38" spans="1:49" x14ac:dyDescent="0.3">
      <c r="A38" s="232"/>
      <c r="B38" s="46" t="s">
        <v>61</v>
      </c>
      <c r="C38" s="224">
        <v>36</v>
      </c>
      <c r="D38" s="177"/>
      <c r="E38" s="178">
        <f t="shared" si="12"/>
        <v>36</v>
      </c>
      <c r="F38" s="178"/>
      <c r="G38" s="178"/>
      <c r="H38" s="178"/>
      <c r="I38" s="178"/>
      <c r="J38" s="180">
        <f t="shared" ref="J38:J43" si="17">SUM(F38:I38)</f>
        <v>0</v>
      </c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80">
        <f t="shared" ref="AC38:AC43" si="18">SUM(K38:AB38)</f>
        <v>0</v>
      </c>
      <c r="AD38" s="178">
        <v>36</v>
      </c>
      <c r="AE38" s="178"/>
      <c r="AF38" s="178"/>
      <c r="AG38" s="180">
        <f t="shared" si="14"/>
        <v>36</v>
      </c>
      <c r="AH38" s="178"/>
      <c r="AI38" s="178"/>
      <c r="AJ38" s="178"/>
      <c r="AK38" s="199"/>
      <c r="AL38" s="178"/>
      <c r="AM38" s="181"/>
      <c r="AN38" s="182"/>
      <c r="AO38" s="178"/>
      <c r="AP38" s="178"/>
      <c r="AQ38" s="180">
        <f t="shared" ref="AQ38:AQ43" si="19">SUM(AH38:AP38)</f>
        <v>0</v>
      </c>
      <c r="AR38" s="183"/>
      <c r="AS38" s="183"/>
      <c r="AT38" s="183"/>
      <c r="AU38" s="179">
        <f t="shared" si="15"/>
        <v>36</v>
      </c>
      <c r="AV38" s="179">
        <f t="shared" si="16"/>
        <v>0</v>
      </c>
      <c r="AW38" s="180">
        <f t="shared" si="3"/>
        <v>36</v>
      </c>
    </row>
    <row r="39" spans="1:49" x14ac:dyDescent="0.3">
      <c r="A39" s="232"/>
      <c r="B39" s="46" t="s">
        <v>62</v>
      </c>
      <c r="C39" s="224">
        <v>20</v>
      </c>
      <c r="D39" s="177"/>
      <c r="E39" s="178">
        <f t="shared" si="12"/>
        <v>20</v>
      </c>
      <c r="F39" s="178"/>
      <c r="G39" s="178"/>
      <c r="H39" s="178"/>
      <c r="I39" s="178"/>
      <c r="J39" s="180">
        <f t="shared" si="17"/>
        <v>0</v>
      </c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80">
        <f t="shared" si="18"/>
        <v>0</v>
      </c>
      <c r="AD39" s="178">
        <v>20</v>
      </c>
      <c r="AE39" s="178"/>
      <c r="AF39" s="178"/>
      <c r="AG39" s="180">
        <f t="shared" si="14"/>
        <v>20</v>
      </c>
      <c r="AH39" s="178"/>
      <c r="AI39" s="178"/>
      <c r="AJ39" s="178"/>
      <c r="AK39" s="199"/>
      <c r="AL39" s="178"/>
      <c r="AM39" s="181"/>
      <c r="AN39" s="182"/>
      <c r="AO39" s="178"/>
      <c r="AP39" s="178"/>
      <c r="AQ39" s="180">
        <f t="shared" si="19"/>
        <v>0</v>
      </c>
      <c r="AR39" s="183"/>
      <c r="AS39" s="183"/>
      <c r="AT39" s="183"/>
      <c r="AU39" s="179">
        <f t="shared" si="15"/>
        <v>20</v>
      </c>
      <c r="AV39" s="179">
        <f t="shared" si="16"/>
        <v>0</v>
      </c>
      <c r="AW39" s="180">
        <f t="shared" si="3"/>
        <v>20</v>
      </c>
    </row>
    <row r="40" spans="1:49" x14ac:dyDescent="0.3">
      <c r="A40" s="232"/>
      <c r="B40" s="46" t="s">
        <v>63</v>
      </c>
      <c r="C40" s="224">
        <v>24</v>
      </c>
      <c r="D40" s="177"/>
      <c r="E40" s="178">
        <f t="shared" si="12"/>
        <v>24</v>
      </c>
      <c r="F40" s="178"/>
      <c r="G40" s="178"/>
      <c r="H40" s="178"/>
      <c r="I40" s="178"/>
      <c r="J40" s="180">
        <f t="shared" si="17"/>
        <v>0</v>
      </c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80">
        <f t="shared" si="18"/>
        <v>0</v>
      </c>
      <c r="AD40" s="178">
        <v>18</v>
      </c>
      <c r="AE40" s="178"/>
      <c r="AF40" s="178"/>
      <c r="AG40" s="180">
        <f t="shared" si="14"/>
        <v>18</v>
      </c>
      <c r="AH40" s="178"/>
      <c r="AI40" s="178"/>
      <c r="AJ40" s="178">
        <v>6</v>
      </c>
      <c r="AK40" s="199"/>
      <c r="AL40" s="178"/>
      <c r="AM40" s="181"/>
      <c r="AN40" s="182"/>
      <c r="AO40" s="178"/>
      <c r="AP40" s="178"/>
      <c r="AQ40" s="180">
        <f t="shared" si="19"/>
        <v>6</v>
      </c>
      <c r="AR40" s="183"/>
      <c r="AS40" s="183"/>
      <c r="AT40" s="183"/>
      <c r="AU40" s="179">
        <f t="shared" si="15"/>
        <v>24</v>
      </c>
      <c r="AV40" s="179">
        <f t="shared" si="16"/>
        <v>0</v>
      </c>
      <c r="AW40" s="180">
        <f t="shared" si="3"/>
        <v>24</v>
      </c>
    </row>
    <row r="41" spans="1:49" x14ac:dyDescent="0.3">
      <c r="A41" s="232"/>
      <c r="B41" s="46" t="s">
        <v>64</v>
      </c>
      <c r="C41" s="224">
        <v>27</v>
      </c>
      <c r="D41" s="177"/>
      <c r="E41" s="178">
        <f t="shared" si="12"/>
        <v>27</v>
      </c>
      <c r="F41" s="178"/>
      <c r="G41" s="178"/>
      <c r="H41" s="178"/>
      <c r="I41" s="178"/>
      <c r="J41" s="180">
        <f t="shared" si="17"/>
        <v>0</v>
      </c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>
        <v>11</v>
      </c>
      <c r="Y41" s="178"/>
      <c r="Z41" s="178"/>
      <c r="AA41" s="178"/>
      <c r="AB41" s="178"/>
      <c r="AC41" s="180">
        <f t="shared" si="18"/>
        <v>11</v>
      </c>
      <c r="AD41" s="178"/>
      <c r="AE41" s="178">
        <v>6</v>
      </c>
      <c r="AF41" s="178">
        <v>3</v>
      </c>
      <c r="AG41" s="180">
        <f t="shared" si="14"/>
        <v>20</v>
      </c>
      <c r="AH41" s="178">
        <v>7</v>
      </c>
      <c r="AI41" s="178"/>
      <c r="AJ41" s="178"/>
      <c r="AK41" s="199"/>
      <c r="AL41" s="178"/>
      <c r="AM41" s="181"/>
      <c r="AN41" s="182"/>
      <c r="AO41" s="178"/>
      <c r="AP41" s="178"/>
      <c r="AQ41" s="180">
        <f t="shared" si="19"/>
        <v>7</v>
      </c>
      <c r="AR41" s="183"/>
      <c r="AS41" s="183"/>
      <c r="AT41" s="183"/>
      <c r="AU41" s="179">
        <f t="shared" si="15"/>
        <v>27</v>
      </c>
      <c r="AV41" s="179">
        <f t="shared" si="16"/>
        <v>0</v>
      </c>
      <c r="AW41" s="180">
        <f t="shared" si="3"/>
        <v>27</v>
      </c>
    </row>
    <row r="42" spans="1:49" x14ac:dyDescent="0.3">
      <c r="A42" s="232"/>
      <c r="B42" s="46" t="s">
        <v>65</v>
      </c>
      <c r="C42" s="224">
        <v>29</v>
      </c>
      <c r="D42" s="177"/>
      <c r="E42" s="178">
        <f t="shared" si="12"/>
        <v>29</v>
      </c>
      <c r="F42" s="178"/>
      <c r="G42" s="178"/>
      <c r="H42" s="178"/>
      <c r="I42" s="178"/>
      <c r="J42" s="180">
        <f t="shared" si="17"/>
        <v>0</v>
      </c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80">
        <f t="shared" si="18"/>
        <v>0</v>
      </c>
      <c r="AD42" s="178">
        <v>29</v>
      </c>
      <c r="AE42" s="178"/>
      <c r="AF42" s="178"/>
      <c r="AG42" s="180">
        <f t="shared" si="14"/>
        <v>29</v>
      </c>
      <c r="AH42" s="178"/>
      <c r="AI42" s="178"/>
      <c r="AJ42" s="178"/>
      <c r="AK42" s="199"/>
      <c r="AL42" s="178"/>
      <c r="AM42" s="181"/>
      <c r="AN42" s="182"/>
      <c r="AO42" s="178"/>
      <c r="AP42" s="178"/>
      <c r="AQ42" s="180">
        <f t="shared" si="19"/>
        <v>0</v>
      </c>
      <c r="AR42" s="183"/>
      <c r="AS42" s="183"/>
      <c r="AT42" s="183"/>
      <c r="AU42" s="179">
        <f t="shared" si="15"/>
        <v>29</v>
      </c>
      <c r="AV42" s="179">
        <f t="shared" si="16"/>
        <v>0</v>
      </c>
      <c r="AW42" s="180">
        <f t="shared" si="3"/>
        <v>29</v>
      </c>
    </row>
    <row r="43" spans="1:49" x14ac:dyDescent="0.3">
      <c r="A43" s="232"/>
      <c r="B43" s="46" t="s">
        <v>66</v>
      </c>
      <c r="C43" s="224">
        <v>41</v>
      </c>
      <c r="D43" s="177"/>
      <c r="E43" s="178">
        <f t="shared" si="12"/>
        <v>41</v>
      </c>
      <c r="F43" s="178">
        <v>7</v>
      </c>
      <c r="G43" s="178">
        <v>5</v>
      </c>
      <c r="H43" s="178"/>
      <c r="I43" s="178">
        <v>1</v>
      </c>
      <c r="J43" s="180">
        <f t="shared" si="17"/>
        <v>13</v>
      </c>
      <c r="K43" s="178">
        <v>12</v>
      </c>
      <c r="L43" s="178">
        <v>6</v>
      </c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>
        <v>2</v>
      </c>
      <c r="Z43" s="178"/>
      <c r="AA43" s="178">
        <v>2</v>
      </c>
      <c r="AB43" s="178"/>
      <c r="AC43" s="180">
        <f t="shared" si="18"/>
        <v>22</v>
      </c>
      <c r="AD43" s="178"/>
      <c r="AE43" s="178"/>
      <c r="AF43" s="178"/>
      <c r="AG43" s="180">
        <f t="shared" si="14"/>
        <v>35</v>
      </c>
      <c r="AH43" s="178">
        <v>10</v>
      </c>
      <c r="AI43" s="178"/>
      <c r="AJ43" s="178"/>
      <c r="AK43" s="199"/>
      <c r="AL43" s="178"/>
      <c r="AM43" s="181"/>
      <c r="AN43" s="182"/>
      <c r="AO43" s="178"/>
      <c r="AP43" s="178"/>
      <c r="AQ43" s="180">
        <f t="shared" si="19"/>
        <v>10</v>
      </c>
      <c r="AR43" s="183"/>
      <c r="AS43" s="183"/>
      <c r="AT43" s="183"/>
      <c r="AU43" s="179">
        <f t="shared" si="15"/>
        <v>41</v>
      </c>
      <c r="AV43" s="179">
        <f t="shared" si="16"/>
        <v>4</v>
      </c>
      <c r="AW43" s="180">
        <f t="shared" si="3"/>
        <v>45</v>
      </c>
    </row>
    <row r="44" spans="1:49" x14ac:dyDescent="0.3">
      <c r="A44" s="233"/>
      <c r="B44" s="46" t="s">
        <v>243</v>
      </c>
      <c r="C44" s="224">
        <v>40</v>
      </c>
      <c r="D44" s="177"/>
      <c r="E44" s="178">
        <f t="shared" si="12"/>
        <v>40</v>
      </c>
      <c r="F44" s="178"/>
      <c r="G44" s="178"/>
      <c r="H44" s="178"/>
      <c r="I44" s="178"/>
      <c r="J44" s="180">
        <f t="shared" si="13"/>
        <v>0</v>
      </c>
      <c r="K44" s="178">
        <v>18</v>
      </c>
      <c r="L44" s="178">
        <v>14</v>
      </c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80">
        <f t="shared" si="1"/>
        <v>32</v>
      </c>
      <c r="AD44" s="178"/>
      <c r="AE44" s="178"/>
      <c r="AF44" s="178"/>
      <c r="AG44" s="180">
        <f t="shared" si="14"/>
        <v>32</v>
      </c>
      <c r="AH44" s="178"/>
      <c r="AI44" s="178"/>
      <c r="AJ44" s="178"/>
      <c r="AK44" s="199">
        <v>8</v>
      </c>
      <c r="AL44" s="178"/>
      <c r="AM44" s="181"/>
      <c r="AN44" s="182"/>
      <c r="AO44" s="178"/>
      <c r="AP44" s="178"/>
      <c r="AQ44" s="180">
        <f t="shared" si="2"/>
        <v>8</v>
      </c>
      <c r="AR44" s="183"/>
      <c r="AS44" s="183"/>
      <c r="AT44" s="183"/>
      <c r="AU44" s="179">
        <f t="shared" si="15"/>
        <v>40</v>
      </c>
      <c r="AV44" s="179">
        <f t="shared" si="16"/>
        <v>0</v>
      </c>
      <c r="AW44" s="180">
        <f t="shared" si="3"/>
        <v>40</v>
      </c>
    </row>
    <row r="45" spans="1:49" ht="17.25" thickBot="1" x14ac:dyDescent="0.35">
      <c r="A45" s="229" t="s">
        <v>36</v>
      </c>
      <c r="B45" s="184" t="s">
        <v>128</v>
      </c>
      <c r="C45" s="185">
        <f>SUM(C29:C44)</f>
        <v>578</v>
      </c>
      <c r="D45" s="185">
        <f>SUM(D29:D44)</f>
        <v>0</v>
      </c>
      <c r="E45" s="186">
        <f t="shared" ref="E45:AW45" si="20">SUM(E29:E44)</f>
        <v>578</v>
      </c>
      <c r="F45" s="186">
        <f t="shared" si="20"/>
        <v>79</v>
      </c>
      <c r="G45" s="186">
        <f t="shared" si="20"/>
        <v>46</v>
      </c>
      <c r="H45" s="186">
        <f t="shared" si="20"/>
        <v>0</v>
      </c>
      <c r="I45" s="186">
        <f t="shared" si="20"/>
        <v>16</v>
      </c>
      <c r="J45" s="186">
        <f t="shared" si="20"/>
        <v>141</v>
      </c>
      <c r="K45" s="186">
        <f t="shared" si="20"/>
        <v>120</v>
      </c>
      <c r="L45" s="186">
        <f t="shared" si="20"/>
        <v>81</v>
      </c>
      <c r="M45" s="186">
        <f t="shared" si="20"/>
        <v>0</v>
      </c>
      <c r="N45" s="186">
        <f t="shared" si="20"/>
        <v>0</v>
      </c>
      <c r="O45" s="186">
        <f t="shared" si="20"/>
        <v>0</v>
      </c>
      <c r="P45" s="186">
        <f t="shared" si="20"/>
        <v>0</v>
      </c>
      <c r="Q45" s="186">
        <f t="shared" si="20"/>
        <v>0</v>
      </c>
      <c r="R45" s="186">
        <f t="shared" si="20"/>
        <v>0</v>
      </c>
      <c r="S45" s="186">
        <f t="shared" si="20"/>
        <v>0</v>
      </c>
      <c r="T45" s="186">
        <f t="shared" si="20"/>
        <v>0</v>
      </c>
      <c r="U45" s="186">
        <f t="shared" si="20"/>
        <v>0</v>
      </c>
      <c r="V45" s="186">
        <f t="shared" si="20"/>
        <v>0</v>
      </c>
      <c r="W45" s="186">
        <f t="shared" si="20"/>
        <v>12</v>
      </c>
      <c r="X45" s="186">
        <f t="shared" si="20"/>
        <v>11</v>
      </c>
      <c r="Y45" s="186">
        <f t="shared" si="20"/>
        <v>20</v>
      </c>
      <c r="Z45" s="186">
        <f t="shared" si="20"/>
        <v>0</v>
      </c>
      <c r="AA45" s="186">
        <f t="shared" si="20"/>
        <v>6</v>
      </c>
      <c r="AB45" s="186">
        <f t="shared" si="20"/>
        <v>0</v>
      </c>
      <c r="AC45" s="186">
        <f t="shared" si="20"/>
        <v>250</v>
      </c>
      <c r="AD45" s="186">
        <f t="shared" si="20"/>
        <v>103</v>
      </c>
      <c r="AE45" s="186">
        <f t="shared" si="20"/>
        <v>6</v>
      </c>
      <c r="AF45" s="186">
        <f t="shared" si="20"/>
        <v>3</v>
      </c>
      <c r="AG45" s="186">
        <f t="shared" si="20"/>
        <v>503</v>
      </c>
      <c r="AH45" s="186">
        <f t="shared" si="20"/>
        <v>87</v>
      </c>
      <c r="AI45" s="186">
        <f t="shared" si="20"/>
        <v>0</v>
      </c>
      <c r="AJ45" s="186">
        <f t="shared" si="20"/>
        <v>6</v>
      </c>
      <c r="AK45" s="187">
        <f t="shared" si="20"/>
        <v>8</v>
      </c>
      <c r="AL45" s="186">
        <f t="shared" si="20"/>
        <v>0</v>
      </c>
      <c r="AM45" s="188">
        <f t="shared" si="20"/>
        <v>0</v>
      </c>
      <c r="AN45" s="189">
        <f t="shared" si="20"/>
        <v>0</v>
      </c>
      <c r="AO45" s="186">
        <f t="shared" si="20"/>
        <v>0</v>
      </c>
      <c r="AP45" s="186">
        <f t="shared" si="20"/>
        <v>0</v>
      </c>
      <c r="AQ45" s="186">
        <f t="shared" si="20"/>
        <v>101</v>
      </c>
      <c r="AR45" s="186">
        <f t="shared" si="20"/>
        <v>0</v>
      </c>
      <c r="AS45" s="186">
        <f t="shared" si="20"/>
        <v>0</v>
      </c>
      <c r="AT45" s="186">
        <f t="shared" si="20"/>
        <v>0</v>
      </c>
      <c r="AU45" s="186">
        <f t="shared" si="20"/>
        <v>578</v>
      </c>
      <c r="AV45" s="186">
        <f t="shared" si="20"/>
        <v>26</v>
      </c>
      <c r="AW45" s="186">
        <f t="shared" si="20"/>
        <v>604</v>
      </c>
    </row>
    <row r="46" spans="1:49" x14ac:dyDescent="0.3">
      <c r="A46" s="231" t="s">
        <v>67</v>
      </c>
      <c r="B46" s="200" t="s">
        <v>68</v>
      </c>
      <c r="C46" s="225">
        <v>15</v>
      </c>
      <c r="D46" s="201"/>
      <c r="E46" s="192">
        <f t="shared" ref="E46:E57" si="21">C46+D46</f>
        <v>15</v>
      </c>
      <c r="F46" s="192"/>
      <c r="G46" s="192">
        <v>4</v>
      </c>
      <c r="H46" s="192"/>
      <c r="I46" s="192">
        <v>1</v>
      </c>
      <c r="J46" s="193">
        <f>SUM(F46:I46)</f>
        <v>5</v>
      </c>
      <c r="K46" s="192">
        <v>3</v>
      </c>
      <c r="L46" s="192">
        <v>3</v>
      </c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>
        <v>1</v>
      </c>
      <c r="Z46" s="192"/>
      <c r="AA46" s="192"/>
      <c r="AB46" s="192">
        <v>1</v>
      </c>
      <c r="AC46" s="193">
        <f>SUM(K46:AB46)</f>
        <v>8</v>
      </c>
      <c r="AD46" s="192"/>
      <c r="AE46" s="192"/>
      <c r="AF46" s="192"/>
      <c r="AG46" s="193">
        <f t="shared" ref="AG46:AG57" si="22">SUM(F46:I46)+SUM(K46:AB46)+SUM(AD46:AF46)</f>
        <v>13</v>
      </c>
      <c r="AH46" s="192"/>
      <c r="AI46" s="192"/>
      <c r="AJ46" s="192"/>
      <c r="AK46" s="194">
        <v>4</v>
      </c>
      <c r="AL46" s="192"/>
      <c r="AM46" s="195"/>
      <c r="AN46" s="196"/>
      <c r="AO46" s="192"/>
      <c r="AP46" s="192"/>
      <c r="AQ46" s="193">
        <f>SUM(AH46:AP46)</f>
        <v>4</v>
      </c>
      <c r="AR46" s="197"/>
      <c r="AS46" s="197"/>
      <c r="AT46" s="197"/>
      <c r="AU46" s="198">
        <f t="shared" ref="AU46:AU57" si="23">SUM(F46:I46)+SUM(K46:X46)+SUM(AD46:AF46)+SUM(AH46:AP46)+AR46</f>
        <v>15</v>
      </c>
      <c r="AV46" s="198">
        <f t="shared" ref="AV46:AV57" si="24">SUM(Y46:AB46)+SUM(AS46:AT46)</f>
        <v>2</v>
      </c>
      <c r="AW46" s="193">
        <f>AU46+AV46</f>
        <v>17</v>
      </c>
    </row>
    <row r="47" spans="1:49" x14ac:dyDescent="0.3">
      <c r="A47" s="232"/>
      <c r="B47" s="46" t="s">
        <v>69</v>
      </c>
      <c r="C47" s="224">
        <v>30</v>
      </c>
      <c r="D47" s="177"/>
      <c r="E47" s="178">
        <f t="shared" si="21"/>
        <v>30</v>
      </c>
      <c r="F47" s="178"/>
      <c r="G47" s="178">
        <v>9</v>
      </c>
      <c r="H47" s="178"/>
      <c r="I47" s="178">
        <v>1</v>
      </c>
      <c r="J47" s="180">
        <f t="shared" ref="J47:J52" si="25">SUM(F47:I47)</f>
        <v>10</v>
      </c>
      <c r="K47" s="178">
        <v>8</v>
      </c>
      <c r="L47" s="178">
        <v>5</v>
      </c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>
        <v>2</v>
      </c>
      <c r="Z47" s="178"/>
      <c r="AA47" s="178"/>
      <c r="AB47" s="178"/>
      <c r="AC47" s="180">
        <f t="shared" si="1"/>
        <v>15</v>
      </c>
      <c r="AD47" s="178"/>
      <c r="AE47" s="178"/>
      <c r="AF47" s="178"/>
      <c r="AG47" s="180">
        <f t="shared" si="22"/>
        <v>25</v>
      </c>
      <c r="AH47" s="178"/>
      <c r="AI47" s="178"/>
      <c r="AJ47" s="178"/>
      <c r="AK47" s="199">
        <v>7</v>
      </c>
      <c r="AL47" s="178"/>
      <c r="AM47" s="181"/>
      <c r="AN47" s="182"/>
      <c r="AO47" s="178"/>
      <c r="AP47" s="178"/>
      <c r="AQ47" s="180">
        <f t="shared" si="2"/>
        <v>7</v>
      </c>
      <c r="AR47" s="183"/>
      <c r="AS47" s="183"/>
      <c r="AT47" s="183"/>
      <c r="AU47" s="179">
        <f t="shared" si="23"/>
        <v>30</v>
      </c>
      <c r="AV47" s="179">
        <f t="shared" si="24"/>
        <v>2</v>
      </c>
      <c r="AW47" s="180">
        <f t="shared" si="3"/>
        <v>32</v>
      </c>
    </row>
    <row r="48" spans="1:49" x14ac:dyDescent="0.3">
      <c r="A48" s="232"/>
      <c r="B48" s="204" t="s">
        <v>70</v>
      </c>
      <c r="C48" s="225">
        <v>16</v>
      </c>
      <c r="D48" s="177"/>
      <c r="E48" s="178">
        <f t="shared" si="21"/>
        <v>16</v>
      </c>
      <c r="F48" s="178"/>
      <c r="G48" s="178">
        <v>4</v>
      </c>
      <c r="H48" s="178"/>
      <c r="I48" s="178">
        <v>1</v>
      </c>
      <c r="J48" s="180">
        <f t="shared" si="25"/>
        <v>5</v>
      </c>
      <c r="K48" s="178">
        <v>3</v>
      </c>
      <c r="L48" s="178">
        <v>3</v>
      </c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>
        <v>1</v>
      </c>
      <c r="Z48" s="178"/>
      <c r="AA48" s="178"/>
      <c r="AB48" s="178">
        <v>1</v>
      </c>
      <c r="AC48" s="180">
        <f t="shared" si="1"/>
        <v>8</v>
      </c>
      <c r="AD48" s="178"/>
      <c r="AE48" s="178"/>
      <c r="AF48" s="178"/>
      <c r="AG48" s="180">
        <f t="shared" si="22"/>
        <v>13</v>
      </c>
      <c r="AH48" s="178"/>
      <c r="AI48" s="178"/>
      <c r="AJ48" s="178"/>
      <c r="AK48" s="199">
        <v>5</v>
      </c>
      <c r="AL48" s="178"/>
      <c r="AM48" s="181"/>
      <c r="AN48" s="182"/>
      <c r="AO48" s="178"/>
      <c r="AP48" s="178"/>
      <c r="AQ48" s="180">
        <f t="shared" si="2"/>
        <v>5</v>
      </c>
      <c r="AR48" s="183"/>
      <c r="AS48" s="183"/>
      <c r="AT48" s="183"/>
      <c r="AU48" s="179">
        <f t="shared" si="23"/>
        <v>16</v>
      </c>
      <c r="AV48" s="179">
        <f t="shared" si="24"/>
        <v>2</v>
      </c>
      <c r="AW48" s="180">
        <f t="shared" si="3"/>
        <v>18</v>
      </c>
    </row>
    <row r="49" spans="1:49" x14ac:dyDescent="0.3">
      <c r="A49" s="232"/>
      <c r="B49" s="6" t="s">
        <v>71</v>
      </c>
      <c r="C49" s="224">
        <v>23</v>
      </c>
      <c r="D49" s="177"/>
      <c r="E49" s="178">
        <f t="shared" si="21"/>
        <v>23</v>
      </c>
      <c r="F49" s="178"/>
      <c r="G49" s="178">
        <v>5</v>
      </c>
      <c r="H49" s="178"/>
      <c r="I49" s="178">
        <v>1</v>
      </c>
      <c r="J49" s="180">
        <f t="shared" si="25"/>
        <v>6</v>
      </c>
      <c r="K49" s="178">
        <v>7</v>
      </c>
      <c r="L49" s="178">
        <v>4</v>
      </c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>
        <v>2</v>
      </c>
      <c r="Z49" s="178"/>
      <c r="AA49" s="178"/>
      <c r="AB49" s="178">
        <v>1</v>
      </c>
      <c r="AC49" s="180">
        <f t="shared" si="1"/>
        <v>14</v>
      </c>
      <c r="AD49" s="178"/>
      <c r="AE49" s="178"/>
      <c r="AF49" s="178"/>
      <c r="AG49" s="180">
        <f t="shared" si="22"/>
        <v>20</v>
      </c>
      <c r="AH49" s="178"/>
      <c r="AI49" s="178"/>
      <c r="AJ49" s="178"/>
      <c r="AK49" s="199">
        <v>6</v>
      </c>
      <c r="AL49" s="178"/>
      <c r="AM49" s="181"/>
      <c r="AN49" s="182"/>
      <c r="AO49" s="178"/>
      <c r="AP49" s="178"/>
      <c r="AQ49" s="180">
        <f t="shared" si="2"/>
        <v>6</v>
      </c>
      <c r="AR49" s="183"/>
      <c r="AS49" s="183"/>
      <c r="AT49" s="183"/>
      <c r="AU49" s="179">
        <f t="shared" si="23"/>
        <v>23</v>
      </c>
      <c r="AV49" s="179">
        <f t="shared" si="24"/>
        <v>3</v>
      </c>
      <c r="AW49" s="180">
        <f t="shared" si="3"/>
        <v>26</v>
      </c>
    </row>
    <row r="50" spans="1:49" x14ac:dyDescent="0.3">
      <c r="A50" s="232"/>
      <c r="B50" s="6" t="s">
        <v>72</v>
      </c>
      <c r="C50" s="224">
        <v>16</v>
      </c>
      <c r="D50" s="177"/>
      <c r="E50" s="178">
        <f t="shared" si="21"/>
        <v>16</v>
      </c>
      <c r="F50" s="178"/>
      <c r="G50" s="178">
        <v>4</v>
      </c>
      <c r="H50" s="178"/>
      <c r="I50" s="178">
        <v>1</v>
      </c>
      <c r="J50" s="180">
        <f t="shared" si="25"/>
        <v>5</v>
      </c>
      <c r="K50" s="178">
        <v>4</v>
      </c>
      <c r="L50" s="178">
        <v>3</v>
      </c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>
        <v>1</v>
      </c>
      <c r="Z50" s="178"/>
      <c r="AA50" s="178"/>
      <c r="AB50" s="178">
        <v>1</v>
      </c>
      <c r="AC50" s="180">
        <f t="shared" si="1"/>
        <v>9</v>
      </c>
      <c r="AD50" s="178"/>
      <c r="AE50" s="178"/>
      <c r="AF50" s="178"/>
      <c r="AG50" s="180">
        <f t="shared" si="22"/>
        <v>14</v>
      </c>
      <c r="AH50" s="178"/>
      <c r="AI50" s="178"/>
      <c r="AJ50" s="178"/>
      <c r="AK50" s="199">
        <v>4</v>
      </c>
      <c r="AL50" s="178"/>
      <c r="AM50" s="181"/>
      <c r="AN50" s="182"/>
      <c r="AO50" s="178"/>
      <c r="AP50" s="178"/>
      <c r="AQ50" s="180">
        <f t="shared" si="2"/>
        <v>4</v>
      </c>
      <c r="AR50" s="183"/>
      <c r="AS50" s="183"/>
      <c r="AT50" s="183"/>
      <c r="AU50" s="179">
        <f t="shared" si="23"/>
        <v>16</v>
      </c>
      <c r="AV50" s="179">
        <f t="shared" si="24"/>
        <v>2</v>
      </c>
      <c r="AW50" s="180">
        <f t="shared" si="3"/>
        <v>18</v>
      </c>
    </row>
    <row r="51" spans="1:49" x14ac:dyDescent="0.3">
      <c r="A51" s="232"/>
      <c r="B51" s="6" t="s">
        <v>73</v>
      </c>
      <c r="C51" s="224">
        <v>16</v>
      </c>
      <c r="D51" s="177"/>
      <c r="E51" s="178">
        <f t="shared" si="21"/>
        <v>16</v>
      </c>
      <c r="F51" s="178"/>
      <c r="G51" s="178">
        <v>4</v>
      </c>
      <c r="H51" s="178"/>
      <c r="I51" s="178">
        <v>1</v>
      </c>
      <c r="J51" s="180">
        <f t="shared" si="25"/>
        <v>5</v>
      </c>
      <c r="K51" s="178">
        <v>4</v>
      </c>
      <c r="L51" s="178">
        <v>3</v>
      </c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>
        <v>1</v>
      </c>
      <c r="Z51" s="178"/>
      <c r="AA51" s="178"/>
      <c r="AB51" s="178">
        <v>1</v>
      </c>
      <c r="AC51" s="180">
        <f t="shared" si="1"/>
        <v>9</v>
      </c>
      <c r="AD51" s="178"/>
      <c r="AE51" s="178"/>
      <c r="AF51" s="178"/>
      <c r="AG51" s="180">
        <f t="shared" si="22"/>
        <v>14</v>
      </c>
      <c r="AH51" s="178"/>
      <c r="AI51" s="178"/>
      <c r="AJ51" s="178"/>
      <c r="AK51" s="199">
        <v>4</v>
      </c>
      <c r="AL51" s="178"/>
      <c r="AM51" s="181"/>
      <c r="AN51" s="182"/>
      <c r="AO51" s="178"/>
      <c r="AP51" s="178"/>
      <c r="AQ51" s="180">
        <f t="shared" si="2"/>
        <v>4</v>
      </c>
      <c r="AR51" s="183"/>
      <c r="AS51" s="183"/>
      <c r="AT51" s="183"/>
      <c r="AU51" s="179">
        <f t="shared" si="23"/>
        <v>16</v>
      </c>
      <c r="AV51" s="179">
        <f t="shared" si="24"/>
        <v>2</v>
      </c>
      <c r="AW51" s="180">
        <f t="shared" si="3"/>
        <v>18</v>
      </c>
    </row>
    <row r="52" spans="1:49" x14ac:dyDescent="0.3">
      <c r="A52" s="232"/>
      <c r="B52" s="6" t="s">
        <v>74</v>
      </c>
      <c r="C52" s="224">
        <v>16</v>
      </c>
      <c r="D52" s="177"/>
      <c r="E52" s="178">
        <f t="shared" si="21"/>
        <v>16</v>
      </c>
      <c r="F52" s="178"/>
      <c r="G52" s="178"/>
      <c r="H52" s="178"/>
      <c r="I52" s="178">
        <v>1</v>
      </c>
      <c r="J52" s="180">
        <f t="shared" si="25"/>
        <v>1</v>
      </c>
      <c r="K52" s="178">
        <v>7</v>
      </c>
      <c r="L52" s="178">
        <v>4</v>
      </c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>
        <v>1</v>
      </c>
      <c r="Z52" s="178"/>
      <c r="AA52" s="178"/>
      <c r="AB52" s="178">
        <v>1</v>
      </c>
      <c r="AC52" s="180">
        <f t="shared" si="1"/>
        <v>13</v>
      </c>
      <c r="AD52" s="178"/>
      <c r="AE52" s="178"/>
      <c r="AF52" s="178"/>
      <c r="AG52" s="180">
        <f t="shared" si="22"/>
        <v>14</v>
      </c>
      <c r="AH52" s="178"/>
      <c r="AI52" s="178"/>
      <c r="AJ52" s="178"/>
      <c r="AK52" s="199">
        <v>4</v>
      </c>
      <c r="AL52" s="178"/>
      <c r="AM52" s="181"/>
      <c r="AN52" s="182"/>
      <c r="AO52" s="178"/>
      <c r="AP52" s="178"/>
      <c r="AQ52" s="180">
        <f t="shared" si="2"/>
        <v>4</v>
      </c>
      <c r="AR52" s="183"/>
      <c r="AS52" s="183"/>
      <c r="AT52" s="183"/>
      <c r="AU52" s="179">
        <f t="shared" si="23"/>
        <v>16</v>
      </c>
      <c r="AV52" s="179">
        <f t="shared" si="24"/>
        <v>2</v>
      </c>
      <c r="AW52" s="180">
        <f t="shared" si="3"/>
        <v>18</v>
      </c>
    </row>
    <row r="53" spans="1:49" x14ac:dyDescent="0.3">
      <c r="A53" s="232"/>
      <c r="B53" s="6" t="s">
        <v>75</v>
      </c>
      <c r="C53" s="224">
        <v>12</v>
      </c>
      <c r="D53" s="177"/>
      <c r="E53" s="178">
        <f t="shared" si="21"/>
        <v>12</v>
      </c>
      <c r="F53" s="178"/>
      <c r="G53" s="178">
        <v>4</v>
      </c>
      <c r="H53" s="178"/>
      <c r="I53" s="178">
        <v>1</v>
      </c>
      <c r="J53" s="180">
        <f>SUM(F53:I53)</f>
        <v>5</v>
      </c>
      <c r="K53" s="178"/>
      <c r="L53" s="178">
        <v>3</v>
      </c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>
        <v>1</v>
      </c>
      <c r="Z53" s="178"/>
      <c r="AA53" s="178"/>
      <c r="AB53" s="178">
        <v>1</v>
      </c>
      <c r="AC53" s="180">
        <f>SUM(K53:AB53)</f>
        <v>5</v>
      </c>
      <c r="AD53" s="178"/>
      <c r="AE53" s="178"/>
      <c r="AF53" s="178"/>
      <c r="AG53" s="180">
        <f t="shared" si="22"/>
        <v>10</v>
      </c>
      <c r="AH53" s="178"/>
      <c r="AI53" s="178"/>
      <c r="AJ53" s="178"/>
      <c r="AK53" s="199">
        <v>4</v>
      </c>
      <c r="AL53" s="178"/>
      <c r="AM53" s="181"/>
      <c r="AN53" s="182"/>
      <c r="AO53" s="178"/>
      <c r="AP53" s="178"/>
      <c r="AQ53" s="180">
        <f>SUM(AH53:AP53)</f>
        <v>4</v>
      </c>
      <c r="AR53" s="183"/>
      <c r="AS53" s="183"/>
      <c r="AT53" s="183"/>
      <c r="AU53" s="179">
        <f t="shared" si="23"/>
        <v>12</v>
      </c>
      <c r="AV53" s="179">
        <f t="shared" si="24"/>
        <v>2</v>
      </c>
      <c r="AW53" s="180">
        <f>AU53+AV53</f>
        <v>14</v>
      </c>
    </row>
    <row r="54" spans="1:49" x14ac:dyDescent="0.3">
      <c r="A54" s="232"/>
      <c r="B54" s="6" t="s">
        <v>76</v>
      </c>
      <c r="C54" s="224">
        <v>11</v>
      </c>
      <c r="D54" s="177"/>
      <c r="E54" s="178">
        <f t="shared" si="21"/>
        <v>11</v>
      </c>
      <c r="F54" s="178"/>
      <c r="G54" s="178"/>
      <c r="H54" s="178"/>
      <c r="I54" s="178">
        <v>1</v>
      </c>
      <c r="J54" s="180">
        <f>SUM(F54:I54)</f>
        <v>1</v>
      </c>
      <c r="K54" s="178">
        <v>4</v>
      </c>
      <c r="L54" s="178">
        <v>2</v>
      </c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>
        <v>1</v>
      </c>
      <c r="Z54" s="178"/>
      <c r="AA54" s="178"/>
      <c r="AB54" s="178">
        <v>1</v>
      </c>
      <c r="AC54" s="180">
        <f>SUM(K54:AB54)</f>
        <v>8</v>
      </c>
      <c r="AD54" s="178"/>
      <c r="AE54" s="178"/>
      <c r="AF54" s="178"/>
      <c r="AG54" s="180">
        <f t="shared" si="22"/>
        <v>9</v>
      </c>
      <c r="AH54" s="178"/>
      <c r="AI54" s="178"/>
      <c r="AJ54" s="178"/>
      <c r="AK54" s="199">
        <v>4</v>
      </c>
      <c r="AL54" s="178"/>
      <c r="AM54" s="181"/>
      <c r="AN54" s="182"/>
      <c r="AO54" s="178"/>
      <c r="AP54" s="178"/>
      <c r="AQ54" s="180">
        <f>SUM(AH54:AP54)</f>
        <v>4</v>
      </c>
      <c r="AR54" s="183"/>
      <c r="AS54" s="183"/>
      <c r="AT54" s="183"/>
      <c r="AU54" s="179">
        <f t="shared" si="23"/>
        <v>11</v>
      </c>
      <c r="AV54" s="179">
        <f t="shared" si="24"/>
        <v>2</v>
      </c>
      <c r="AW54" s="180">
        <f>AU54+AV54</f>
        <v>13</v>
      </c>
    </row>
    <row r="55" spans="1:49" x14ac:dyDescent="0.3">
      <c r="A55" s="232"/>
      <c r="B55" s="6" t="s">
        <v>77</v>
      </c>
      <c r="C55" s="224">
        <v>41</v>
      </c>
      <c r="D55" s="177"/>
      <c r="E55" s="178">
        <f t="shared" si="21"/>
        <v>41</v>
      </c>
      <c r="F55" s="178"/>
      <c r="G55" s="178">
        <v>15</v>
      </c>
      <c r="H55" s="178"/>
      <c r="I55" s="178">
        <v>1</v>
      </c>
      <c r="J55" s="180">
        <f>SUM(F55:I55)</f>
        <v>16</v>
      </c>
      <c r="K55" s="178">
        <v>7</v>
      </c>
      <c r="L55" s="178">
        <v>10</v>
      </c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>
        <v>3</v>
      </c>
      <c r="Z55" s="178"/>
      <c r="AA55" s="178"/>
      <c r="AB55" s="178">
        <v>1</v>
      </c>
      <c r="AC55" s="180">
        <f>SUM(K55:AB55)</f>
        <v>21</v>
      </c>
      <c r="AD55" s="178"/>
      <c r="AE55" s="178"/>
      <c r="AF55" s="178"/>
      <c r="AG55" s="180">
        <f t="shared" si="22"/>
        <v>37</v>
      </c>
      <c r="AH55" s="178"/>
      <c r="AI55" s="178"/>
      <c r="AJ55" s="178"/>
      <c r="AK55" s="199">
        <v>8</v>
      </c>
      <c r="AL55" s="178"/>
      <c r="AM55" s="181"/>
      <c r="AN55" s="182"/>
      <c r="AO55" s="178"/>
      <c r="AP55" s="178"/>
      <c r="AQ55" s="180">
        <f>SUM(AH55:AP55)</f>
        <v>8</v>
      </c>
      <c r="AR55" s="183"/>
      <c r="AS55" s="183"/>
      <c r="AT55" s="183"/>
      <c r="AU55" s="179">
        <f t="shared" si="23"/>
        <v>41</v>
      </c>
      <c r="AV55" s="179">
        <f t="shared" si="24"/>
        <v>4</v>
      </c>
      <c r="AW55" s="180">
        <f>AU55+AV55</f>
        <v>45</v>
      </c>
    </row>
    <row r="56" spans="1:49" x14ac:dyDescent="0.3">
      <c r="A56" s="232"/>
      <c r="B56" s="6" t="s">
        <v>78</v>
      </c>
      <c r="C56" s="224">
        <v>30</v>
      </c>
      <c r="D56" s="177"/>
      <c r="E56" s="178">
        <f t="shared" si="21"/>
        <v>30</v>
      </c>
      <c r="F56" s="178"/>
      <c r="G56" s="178">
        <v>9</v>
      </c>
      <c r="H56" s="178"/>
      <c r="I56" s="178">
        <v>1</v>
      </c>
      <c r="J56" s="180">
        <f>SUM(F56:I56)</f>
        <v>10</v>
      </c>
      <c r="K56" s="178">
        <v>7</v>
      </c>
      <c r="L56" s="178">
        <v>6</v>
      </c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>
        <v>2</v>
      </c>
      <c r="Z56" s="178"/>
      <c r="AA56" s="178"/>
      <c r="AB56" s="178">
        <v>1</v>
      </c>
      <c r="AC56" s="180">
        <f>SUM(K56:AB56)</f>
        <v>16</v>
      </c>
      <c r="AD56" s="178"/>
      <c r="AE56" s="178"/>
      <c r="AF56" s="178"/>
      <c r="AG56" s="180">
        <f t="shared" si="22"/>
        <v>26</v>
      </c>
      <c r="AH56" s="178"/>
      <c r="AI56" s="178"/>
      <c r="AJ56" s="178"/>
      <c r="AK56" s="199">
        <v>7</v>
      </c>
      <c r="AL56" s="178"/>
      <c r="AM56" s="181"/>
      <c r="AN56" s="182"/>
      <c r="AO56" s="178"/>
      <c r="AP56" s="178"/>
      <c r="AQ56" s="180">
        <f>SUM(AH56:AP56)</f>
        <v>7</v>
      </c>
      <c r="AR56" s="183"/>
      <c r="AS56" s="183"/>
      <c r="AT56" s="183"/>
      <c r="AU56" s="179">
        <f t="shared" si="23"/>
        <v>30</v>
      </c>
      <c r="AV56" s="179">
        <f t="shared" si="24"/>
        <v>3</v>
      </c>
      <c r="AW56" s="180">
        <f>AU56+AV56</f>
        <v>33</v>
      </c>
    </row>
    <row r="57" spans="1:49" x14ac:dyDescent="0.3">
      <c r="A57" s="233"/>
      <c r="B57" s="6" t="s">
        <v>79</v>
      </c>
      <c r="C57" s="224">
        <v>14</v>
      </c>
      <c r="D57" s="177"/>
      <c r="E57" s="178">
        <f t="shared" si="21"/>
        <v>14</v>
      </c>
      <c r="F57" s="178"/>
      <c r="G57" s="178"/>
      <c r="H57" s="178"/>
      <c r="I57" s="178"/>
      <c r="J57" s="180">
        <f>SUM(F57:I57)</f>
        <v>0</v>
      </c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>
        <v>6</v>
      </c>
      <c r="Y57" s="178">
        <v>1</v>
      </c>
      <c r="Z57" s="178"/>
      <c r="AA57" s="178"/>
      <c r="AB57" s="178"/>
      <c r="AC57" s="180">
        <f>SUM(K57:AB57)</f>
        <v>7</v>
      </c>
      <c r="AD57" s="178"/>
      <c r="AE57" s="178">
        <v>3</v>
      </c>
      <c r="AF57" s="178"/>
      <c r="AG57" s="180">
        <f t="shared" si="22"/>
        <v>10</v>
      </c>
      <c r="AH57" s="178"/>
      <c r="AI57" s="178"/>
      <c r="AJ57" s="178"/>
      <c r="AK57" s="199">
        <v>5</v>
      </c>
      <c r="AL57" s="178"/>
      <c r="AM57" s="181"/>
      <c r="AN57" s="182"/>
      <c r="AO57" s="178"/>
      <c r="AP57" s="178"/>
      <c r="AQ57" s="180">
        <f>SUM(AH57:AP57)</f>
        <v>5</v>
      </c>
      <c r="AR57" s="183"/>
      <c r="AS57" s="183"/>
      <c r="AT57" s="183"/>
      <c r="AU57" s="179">
        <f t="shared" si="23"/>
        <v>14</v>
      </c>
      <c r="AV57" s="179">
        <f t="shared" si="24"/>
        <v>1</v>
      </c>
      <c r="AW57" s="180">
        <f>AU57+AV57</f>
        <v>15</v>
      </c>
    </row>
    <row r="58" spans="1:49" ht="17.25" thickBot="1" x14ac:dyDescent="0.35">
      <c r="A58" s="229" t="s">
        <v>36</v>
      </c>
      <c r="B58" s="184" t="s">
        <v>129</v>
      </c>
      <c r="C58" s="185">
        <f>SUM(C46:C57)</f>
        <v>240</v>
      </c>
      <c r="D58" s="185">
        <f>SUM(D46:D57)</f>
        <v>0</v>
      </c>
      <c r="E58" s="186">
        <f t="shared" ref="E58:AW58" si="26">SUM(E46:E57)</f>
        <v>240</v>
      </c>
      <c r="F58" s="186">
        <f t="shared" si="26"/>
        <v>0</v>
      </c>
      <c r="G58" s="186">
        <f t="shared" si="26"/>
        <v>58</v>
      </c>
      <c r="H58" s="186">
        <f t="shared" si="26"/>
        <v>0</v>
      </c>
      <c r="I58" s="186">
        <f t="shared" si="26"/>
        <v>11</v>
      </c>
      <c r="J58" s="186">
        <f t="shared" si="26"/>
        <v>69</v>
      </c>
      <c r="K58" s="186">
        <f t="shared" si="26"/>
        <v>54</v>
      </c>
      <c r="L58" s="186">
        <f t="shared" si="26"/>
        <v>46</v>
      </c>
      <c r="M58" s="186">
        <f t="shared" si="26"/>
        <v>0</v>
      </c>
      <c r="N58" s="186">
        <f t="shared" si="26"/>
        <v>0</v>
      </c>
      <c r="O58" s="186">
        <f t="shared" si="26"/>
        <v>0</v>
      </c>
      <c r="P58" s="186">
        <f t="shared" si="26"/>
        <v>0</v>
      </c>
      <c r="Q58" s="186">
        <f t="shared" si="26"/>
        <v>0</v>
      </c>
      <c r="R58" s="186">
        <f t="shared" si="26"/>
        <v>0</v>
      </c>
      <c r="S58" s="186">
        <f t="shared" si="26"/>
        <v>0</v>
      </c>
      <c r="T58" s="186">
        <f t="shared" si="26"/>
        <v>0</v>
      </c>
      <c r="U58" s="186">
        <f t="shared" si="26"/>
        <v>0</v>
      </c>
      <c r="V58" s="186">
        <f t="shared" si="26"/>
        <v>0</v>
      </c>
      <c r="W58" s="186">
        <f t="shared" si="26"/>
        <v>0</v>
      </c>
      <c r="X58" s="186">
        <f t="shared" si="26"/>
        <v>6</v>
      </c>
      <c r="Y58" s="186">
        <f t="shared" si="26"/>
        <v>17</v>
      </c>
      <c r="Z58" s="186">
        <f t="shared" si="26"/>
        <v>0</v>
      </c>
      <c r="AA58" s="186">
        <f t="shared" si="26"/>
        <v>0</v>
      </c>
      <c r="AB58" s="186">
        <f t="shared" si="26"/>
        <v>10</v>
      </c>
      <c r="AC58" s="186">
        <f t="shared" si="26"/>
        <v>133</v>
      </c>
      <c r="AD58" s="186">
        <f t="shared" si="26"/>
        <v>0</v>
      </c>
      <c r="AE58" s="186">
        <f t="shared" si="26"/>
        <v>3</v>
      </c>
      <c r="AF58" s="186">
        <f t="shared" si="26"/>
        <v>0</v>
      </c>
      <c r="AG58" s="186">
        <f t="shared" si="26"/>
        <v>205</v>
      </c>
      <c r="AH58" s="186">
        <f t="shared" si="26"/>
        <v>0</v>
      </c>
      <c r="AI58" s="186">
        <f t="shared" si="26"/>
        <v>0</v>
      </c>
      <c r="AJ58" s="186">
        <f t="shared" si="26"/>
        <v>0</v>
      </c>
      <c r="AK58" s="187">
        <f t="shared" si="26"/>
        <v>62</v>
      </c>
      <c r="AL58" s="186">
        <f t="shared" si="26"/>
        <v>0</v>
      </c>
      <c r="AM58" s="188">
        <f t="shared" si="26"/>
        <v>0</v>
      </c>
      <c r="AN58" s="189">
        <f t="shared" si="26"/>
        <v>0</v>
      </c>
      <c r="AO58" s="186">
        <f t="shared" si="26"/>
        <v>0</v>
      </c>
      <c r="AP58" s="186">
        <f t="shared" si="26"/>
        <v>0</v>
      </c>
      <c r="AQ58" s="186">
        <f t="shared" si="26"/>
        <v>62</v>
      </c>
      <c r="AR58" s="186">
        <f t="shared" si="26"/>
        <v>0</v>
      </c>
      <c r="AS58" s="186">
        <f t="shared" si="26"/>
        <v>0</v>
      </c>
      <c r="AT58" s="186">
        <f t="shared" si="26"/>
        <v>0</v>
      </c>
      <c r="AU58" s="186">
        <f t="shared" si="26"/>
        <v>240</v>
      </c>
      <c r="AV58" s="186">
        <f t="shared" si="26"/>
        <v>27</v>
      </c>
      <c r="AW58" s="186">
        <f t="shared" si="26"/>
        <v>267</v>
      </c>
    </row>
    <row r="59" spans="1:49" x14ac:dyDescent="0.3">
      <c r="A59" s="231" t="s">
        <v>80</v>
      </c>
      <c r="B59" s="203" t="s">
        <v>81</v>
      </c>
      <c r="C59" s="225">
        <v>21</v>
      </c>
      <c r="D59" s="201"/>
      <c r="E59" s="192">
        <f t="shared" ref="E59:E66" si="27">C59+D59</f>
        <v>21</v>
      </c>
      <c r="F59" s="192">
        <v>4</v>
      </c>
      <c r="G59" s="192">
        <v>3</v>
      </c>
      <c r="H59" s="192"/>
      <c r="I59" s="192">
        <v>1</v>
      </c>
      <c r="J59" s="193">
        <f t="shared" ref="J59:J66" si="28">SUM(F59:I59)</f>
        <v>8</v>
      </c>
      <c r="K59" s="192">
        <v>5</v>
      </c>
      <c r="L59" s="192">
        <v>4</v>
      </c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>
        <v>1</v>
      </c>
      <c r="Z59" s="192"/>
      <c r="AA59" s="192"/>
      <c r="AB59" s="192" t="s">
        <v>39</v>
      </c>
      <c r="AC59" s="193">
        <f t="shared" si="1"/>
        <v>10</v>
      </c>
      <c r="AD59" s="192"/>
      <c r="AE59" s="192"/>
      <c r="AF59" s="192"/>
      <c r="AG59" s="193">
        <f t="shared" ref="AG59:AG66" si="29">SUM(F59:I59)+SUM(K59:AB59)+SUM(AD59:AF59)</f>
        <v>18</v>
      </c>
      <c r="AH59" s="192">
        <v>4</v>
      </c>
      <c r="AI59" s="192"/>
      <c r="AJ59" s="192"/>
      <c r="AK59" s="194"/>
      <c r="AL59" s="192"/>
      <c r="AM59" s="195"/>
      <c r="AN59" s="196"/>
      <c r="AO59" s="192"/>
      <c r="AP59" s="192"/>
      <c r="AQ59" s="193">
        <f t="shared" si="2"/>
        <v>4</v>
      </c>
      <c r="AR59" s="197"/>
      <c r="AS59" s="197"/>
      <c r="AT59" s="197"/>
      <c r="AU59" s="198">
        <f t="shared" ref="AU59:AU66" si="30">SUM(F59:I59)+SUM(K59:X59)+SUM(AD59:AF59)+SUM(AH59:AP59)+AR59</f>
        <v>21</v>
      </c>
      <c r="AV59" s="198">
        <f t="shared" ref="AV59:AV66" si="31">SUM(Y59:AB59)+SUM(AS59:AT59)</f>
        <v>1</v>
      </c>
      <c r="AW59" s="193">
        <f t="shared" si="3"/>
        <v>22</v>
      </c>
    </row>
    <row r="60" spans="1:49" x14ac:dyDescent="0.3">
      <c r="A60" s="232"/>
      <c r="B60" s="6" t="s">
        <v>82</v>
      </c>
      <c r="C60" s="224">
        <v>24</v>
      </c>
      <c r="D60" s="177"/>
      <c r="E60" s="178">
        <f t="shared" si="27"/>
        <v>24</v>
      </c>
      <c r="F60" s="178">
        <v>6</v>
      </c>
      <c r="G60" s="178">
        <v>3</v>
      </c>
      <c r="H60" s="178"/>
      <c r="I60" s="178">
        <v>1</v>
      </c>
      <c r="J60" s="180">
        <f t="shared" si="28"/>
        <v>10</v>
      </c>
      <c r="K60" s="178">
        <v>5</v>
      </c>
      <c r="L60" s="178">
        <v>3</v>
      </c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>
        <v>1</v>
      </c>
      <c r="X60" s="178"/>
      <c r="Y60" s="178">
        <v>2</v>
      </c>
      <c r="Z60" s="178"/>
      <c r="AA60" s="178"/>
      <c r="AB60" s="178" t="s">
        <v>39</v>
      </c>
      <c r="AC60" s="180">
        <f t="shared" si="1"/>
        <v>11</v>
      </c>
      <c r="AD60" s="178"/>
      <c r="AE60" s="178"/>
      <c r="AF60" s="178"/>
      <c r="AG60" s="180">
        <f t="shared" si="29"/>
        <v>21</v>
      </c>
      <c r="AH60" s="178">
        <v>5</v>
      </c>
      <c r="AI60" s="178"/>
      <c r="AJ60" s="178"/>
      <c r="AK60" s="199"/>
      <c r="AL60" s="178"/>
      <c r="AM60" s="181"/>
      <c r="AN60" s="182"/>
      <c r="AO60" s="178"/>
      <c r="AP60" s="178"/>
      <c r="AQ60" s="180">
        <f t="shared" si="2"/>
        <v>5</v>
      </c>
      <c r="AR60" s="183"/>
      <c r="AS60" s="183"/>
      <c r="AT60" s="183"/>
      <c r="AU60" s="179">
        <f t="shared" si="30"/>
        <v>24</v>
      </c>
      <c r="AV60" s="179">
        <f t="shared" si="31"/>
        <v>2</v>
      </c>
      <c r="AW60" s="180">
        <f t="shared" si="3"/>
        <v>26</v>
      </c>
    </row>
    <row r="61" spans="1:49" x14ac:dyDescent="0.3">
      <c r="A61" s="232"/>
      <c r="B61" s="6" t="s">
        <v>83</v>
      </c>
      <c r="C61" s="224">
        <v>25</v>
      </c>
      <c r="D61" s="177"/>
      <c r="E61" s="178">
        <f t="shared" si="27"/>
        <v>25</v>
      </c>
      <c r="F61" s="178"/>
      <c r="G61" s="178"/>
      <c r="H61" s="178"/>
      <c r="I61" s="178">
        <v>1</v>
      </c>
      <c r="J61" s="180">
        <f t="shared" si="28"/>
        <v>1</v>
      </c>
      <c r="K61" s="178">
        <v>12</v>
      </c>
      <c r="L61" s="178">
        <v>6</v>
      </c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>
        <v>1</v>
      </c>
      <c r="Z61" s="178"/>
      <c r="AA61" s="178"/>
      <c r="AB61" s="178" t="s">
        <v>39</v>
      </c>
      <c r="AC61" s="180">
        <f t="shared" si="1"/>
        <v>19</v>
      </c>
      <c r="AD61" s="178"/>
      <c r="AE61" s="178"/>
      <c r="AF61" s="178"/>
      <c r="AG61" s="180">
        <f t="shared" si="29"/>
        <v>20</v>
      </c>
      <c r="AH61" s="178">
        <v>6</v>
      </c>
      <c r="AI61" s="178"/>
      <c r="AJ61" s="178"/>
      <c r="AK61" s="199"/>
      <c r="AL61" s="178"/>
      <c r="AM61" s="181"/>
      <c r="AN61" s="182"/>
      <c r="AO61" s="178"/>
      <c r="AP61" s="178"/>
      <c r="AQ61" s="180">
        <f t="shared" si="2"/>
        <v>6</v>
      </c>
      <c r="AR61" s="183"/>
      <c r="AS61" s="183"/>
      <c r="AT61" s="183"/>
      <c r="AU61" s="179">
        <f t="shared" si="30"/>
        <v>25</v>
      </c>
      <c r="AV61" s="179">
        <f t="shared" si="31"/>
        <v>1</v>
      </c>
      <c r="AW61" s="180">
        <f t="shared" si="3"/>
        <v>26</v>
      </c>
    </row>
    <row r="62" spans="1:49" x14ac:dyDescent="0.3">
      <c r="A62" s="232"/>
      <c r="B62" s="6" t="s">
        <v>84</v>
      </c>
      <c r="C62" s="224">
        <v>23</v>
      </c>
      <c r="D62" s="177"/>
      <c r="E62" s="178">
        <f t="shared" si="27"/>
        <v>23</v>
      </c>
      <c r="F62" s="178">
        <v>5</v>
      </c>
      <c r="G62" s="178">
        <v>3</v>
      </c>
      <c r="H62" s="178"/>
      <c r="I62" s="178">
        <v>1</v>
      </c>
      <c r="J62" s="180">
        <f t="shared" si="28"/>
        <v>9</v>
      </c>
      <c r="K62" s="178">
        <v>5</v>
      </c>
      <c r="L62" s="178">
        <v>2</v>
      </c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>
        <v>1</v>
      </c>
      <c r="X62" s="178"/>
      <c r="Y62" s="178">
        <v>2</v>
      </c>
      <c r="Z62" s="178"/>
      <c r="AA62" s="178"/>
      <c r="AB62" s="178" t="s">
        <v>39</v>
      </c>
      <c r="AC62" s="180">
        <f t="shared" si="1"/>
        <v>10</v>
      </c>
      <c r="AD62" s="178"/>
      <c r="AE62" s="178"/>
      <c r="AF62" s="178"/>
      <c r="AG62" s="180">
        <f t="shared" si="29"/>
        <v>19</v>
      </c>
      <c r="AH62" s="178">
        <v>6</v>
      </c>
      <c r="AI62" s="178"/>
      <c r="AJ62" s="178"/>
      <c r="AK62" s="199"/>
      <c r="AL62" s="178"/>
      <c r="AM62" s="181"/>
      <c r="AN62" s="182"/>
      <c r="AO62" s="178"/>
      <c r="AP62" s="178"/>
      <c r="AQ62" s="180">
        <f t="shared" si="2"/>
        <v>6</v>
      </c>
      <c r="AR62" s="183"/>
      <c r="AS62" s="183"/>
      <c r="AT62" s="183"/>
      <c r="AU62" s="179">
        <f t="shared" si="30"/>
        <v>23</v>
      </c>
      <c r="AV62" s="179">
        <f t="shared" si="31"/>
        <v>2</v>
      </c>
      <c r="AW62" s="180">
        <f t="shared" si="3"/>
        <v>25</v>
      </c>
    </row>
    <row r="63" spans="1:49" x14ac:dyDescent="0.3">
      <c r="A63" s="232"/>
      <c r="B63" s="6" t="s">
        <v>85</v>
      </c>
      <c r="C63" s="224">
        <v>22</v>
      </c>
      <c r="D63" s="226">
        <v>1</v>
      </c>
      <c r="E63" s="178">
        <f t="shared" si="27"/>
        <v>23</v>
      </c>
      <c r="F63" s="178">
        <v>5</v>
      </c>
      <c r="G63" s="183">
        <v>4</v>
      </c>
      <c r="H63" s="178"/>
      <c r="I63" s="178">
        <v>1</v>
      </c>
      <c r="J63" s="180">
        <f t="shared" si="28"/>
        <v>10</v>
      </c>
      <c r="K63" s="178">
        <v>5</v>
      </c>
      <c r="L63" s="178">
        <v>3</v>
      </c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>
        <v>1</v>
      </c>
      <c r="Z63" s="178"/>
      <c r="AA63" s="178"/>
      <c r="AB63" s="178" t="s">
        <v>39</v>
      </c>
      <c r="AC63" s="180">
        <f t="shared" si="1"/>
        <v>9</v>
      </c>
      <c r="AD63" s="178"/>
      <c r="AE63" s="178"/>
      <c r="AF63" s="178"/>
      <c r="AG63" s="180">
        <f t="shared" si="29"/>
        <v>19</v>
      </c>
      <c r="AH63" s="178">
        <v>5</v>
      </c>
      <c r="AI63" s="178"/>
      <c r="AJ63" s="178"/>
      <c r="AK63" s="199"/>
      <c r="AL63" s="178"/>
      <c r="AM63" s="181"/>
      <c r="AN63" s="182"/>
      <c r="AO63" s="178"/>
      <c r="AP63" s="178"/>
      <c r="AQ63" s="180">
        <f t="shared" si="2"/>
        <v>5</v>
      </c>
      <c r="AR63" s="183"/>
      <c r="AS63" s="183"/>
      <c r="AT63" s="183"/>
      <c r="AU63" s="179">
        <f t="shared" si="30"/>
        <v>23</v>
      </c>
      <c r="AV63" s="179">
        <f t="shared" si="31"/>
        <v>1</v>
      </c>
      <c r="AW63" s="180">
        <f t="shared" si="3"/>
        <v>24</v>
      </c>
    </row>
    <row r="64" spans="1:49" x14ac:dyDescent="0.3">
      <c r="A64" s="232"/>
      <c r="B64" s="46" t="s">
        <v>244</v>
      </c>
      <c r="C64" s="224">
        <v>25</v>
      </c>
      <c r="D64" s="177"/>
      <c r="E64" s="178">
        <f t="shared" si="27"/>
        <v>25</v>
      </c>
      <c r="F64" s="178">
        <v>8</v>
      </c>
      <c r="G64" s="178"/>
      <c r="H64" s="178"/>
      <c r="I64" s="178">
        <v>1</v>
      </c>
      <c r="J64" s="180">
        <f t="shared" si="28"/>
        <v>9</v>
      </c>
      <c r="K64" s="178">
        <v>6</v>
      </c>
      <c r="L64" s="178">
        <v>4</v>
      </c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>
        <v>1</v>
      </c>
      <c r="X64" s="178"/>
      <c r="Y64" s="178">
        <v>1</v>
      </c>
      <c r="Z64" s="178"/>
      <c r="AA64" s="178"/>
      <c r="AB64" s="178" t="s">
        <v>39</v>
      </c>
      <c r="AC64" s="180">
        <f t="shared" ref="AC64:AC113" si="32">SUM(K64:AB64)</f>
        <v>12</v>
      </c>
      <c r="AD64" s="178"/>
      <c r="AE64" s="178"/>
      <c r="AF64" s="178"/>
      <c r="AG64" s="180">
        <f t="shared" si="29"/>
        <v>21</v>
      </c>
      <c r="AH64" s="178">
        <v>5</v>
      </c>
      <c r="AI64" s="178"/>
      <c r="AJ64" s="178"/>
      <c r="AK64" s="199"/>
      <c r="AL64" s="178"/>
      <c r="AM64" s="181"/>
      <c r="AN64" s="182"/>
      <c r="AO64" s="178"/>
      <c r="AP64" s="178"/>
      <c r="AQ64" s="180">
        <f t="shared" si="2"/>
        <v>5</v>
      </c>
      <c r="AR64" s="183"/>
      <c r="AS64" s="183"/>
      <c r="AT64" s="183"/>
      <c r="AU64" s="179">
        <f t="shared" si="30"/>
        <v>25</v>
      </c>
      <c r="AV64" s="179">
        <f t="shared" si="31"/>
        <v>1</v>
      </c>
      <c r="AW64" s="180">
        <f t="shared" si="3"/>
        <v>26</v>
      </c>
    </row>
    <row r="65" spans="1:49" x14ac:dyDescent="0.3">
      <c r="A65" s="232"/>
      <c r="B65" s="46" t="s">
        <v>245</v>
      </c>
      <c r="C65" s="224">
        <v>34</v>
      </c>
      <c r="D65" s="177"/>
      <c r="E65" s="178">
        <f t="shared" si="27"/>
        <v>34</v>
      </c>
      <c r="F65" s="178">
        <v>5</v>
      </c>
      <c r="G65" s="178">
        <v>3</v>
      </c>
      <c r="H65" s="178"/>
      <c r="I65" s="178">
        <v>1</v>
      </c>
      <c r="J65" s="180">
        <f t="shared" si="28"/>
        <v>9</v>
      </c>
      <c r="K65" s="178">
        <v>10</v>
      </c>
      <c r="L65" s="178">
        <v>7</v>
      </c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>
        <v>1</v>
      </c>
      <c r="X65" s="178"/>
      <c r="Y65" s="178">
        <v>2</v>
      </c>
      <c r="Z65" s="178"/>
      <c r="AA65" s="178"/>
      <c r="AB65" s="178" t="s">
        <v>39</v>
      </c>
      <c r="AC65" s="180">
        <f t="shared" si="32"/>
        <v>20</v>
      </c>
      <c r="AD65" s="178"/>
      <c r="AE65" s="178"/>
      <c r="AF65" s="178"/>
      <c r="AG65" s="180">
        <f t="shared" si="29"/>
        <v>29</v>
      </c>
      <c r="AH65" s="178">
        <v>7</v>
      </c>
      <c r="AI65" s="178"/>
      <c r="AJ65" s="178"/>
      <c r="AK65" s="199"/>
      <c r="AL65" s="178"/>
      <c r="AM65" s="181"/>
      <c r="AN65" s="182"/>
      <c r="AO65" s="178"/>
      <c r="AP65" s="178"/>
      <c r="AQ65" s="180">
        <f t="shared" si="2"/>
        <v>7</v>
      </c>
      <c r="AR65" s="183"/>
      <c r="AS65" s="183"/>
      <c r="AT65" s="183"/>
      <c r="AU65" s="179">
        <f t="shared" si="30"/>
        <v>34</v>
      </c>
      <c r="AV65" s="179">
        <f t="shared" si="31"/>
        <v>2</v>
      </c>
      <c r="AW65" s="180">
        <f t="shared" si="3"/>
        <v>36</v>
      </c>
    </row>
    <row r="66" spans="1:49" x14ac:dyDescent="0.3">
      <c r="A66" s="233"/>
      <c r="B66" s="46" t="s">
        <v>246</v>
      </c>
      <c r="C66" s="224">
        <v>21</v>
      </c>
      <c r="D66" s="177"/>
      <c r="E66" s="178">
        <f t="shared" si="27"/>
        <v>21</v>
      </c>
      <c r="F66" s="178"/>
      <c r="G66" s="178"/>
      <c r="H66" s="178"/>
      <c r="I66" s="178"/>
      <c r="J66" s="180">
        <f t="shared" si="28"/>
        <v>0</v>
      </c>
      <c r="K66" s="178">
        <v>9</v>
      </c>
      <c r="L66" s="178">
        <v>7</v>
      </c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80">
        <f t="shared" si="32"/>
        <v>16</v>
      </c>
      <c r="AD66" s="178"/>
      <c r="AE66" s="178"/>
      <c r="AF66" s="178"/>
      <c r="AG66" s="180">
        <f t="shared" si="29"/>
        <v>16</v>
      </c>
      <c r="AH66" s="178"/>
      <c r="AI66" s="178"/>
      <c r="AJ66" s="178"/>
      <c r="AK66" s="199">
        <v>5</v>
      </c>
      <c r="AL66" s="178"/>
      <c r="AM66" s="181"/>
      <c r="AN66" s="182"/>
      <c r="AO66" s="178"/>
      <c r="AP66" s="178"/>
      <c r="AQ66" s="180">
        <f t="shared" ref="AQ66:AQ113" si="33">SUM(AH66:AP66)</f>
        <v>5</v>
      </c>
      <c r="AR66" s="183"/>
      <c r="AS66" s="183"/>
      <c r="AT66" s="183"/>
      <c r="AU66" s="179">
        <f t="shared" si="30"/>
        <v>21</v>
      </c>
      <c r="AV66" s="179">
        <f t="shared" si="31"/>
        <v>0</v>
      </c>
      <c r="AW66" s="180">
        <f t="shared" si="3"/>
        <v>21</v>
      </c>
    </row>
    <row r="67" spans="1:49" ht="17.25" thickBot="1" x14ac:dyDescent="0.35">
      <c r="A67" s="229" t="s">
        <v>36</v>
      </c>
      <c r="B67" s="184" t="s">
        <v>130</v>
      </c>
      <c r="C67" s="185">
        <f>SUM(C59:C66)</f>
        <v>195</v>
      </c>
      <c r="D67" s="185">
        <f t="shared" ref="D67:E67" si="34">SUM(D59:D66)</f>
        <v>1</v>
      </c>
      <c r="E67" s="186">
        <f t="shared" si="34"/>
        <v>196</v>
      </c>
      <c r="F67" s="186">
        <f>SUM(F59:F66)</f>
        <v>33</v>
      </c>
      <c r="G67" s="186">
        <f t="shared" ref="G67:AW67" si="35">SUM(G59:G66)</f>
        <v>16</v>
      </c>
      <c r="H67" s="186">
        <f t="shared" si="35"/>
        <v>0</v>
      </c>
      <c r="I67" s="186">
        <f t="shared" si="35"/>
        <v>7</v>
      </c>
      <c r="J67" s="186">
        <f t="shared" si="35"/>
        <v>56</v>
      </c>
      <c r="K67" s="186">
        <f t="shared" si="35"/>
        <v>57</v>
      </c>
      <c r="L67" s="186">
        <f t="shared" si="35"/>
        <v>36</v>
      </c>
      <c r="M67" s="186">
        <f t="shared" si="35"/>
        <v>0</v>
      </c>
      <c r="N67" s="186">
        <f t="shared" si="35"/>
        <v>0</v>
      </c>
      <c r="O67" s="186">
        <f t="shared" si="35"/>
        <v>0</v>
      </c>
      <c r="P67" s="186">
        <f t="shared" si="35"/>
        <v>0</v>
      </c>
      <c r="Q67" s="186">
        <f t="shared" si="35"/>
        <v>0</v>
      </c>
      <c r="R67" s="186">
        <f t="shared" si="35"/>
        <v>0</v>
      </c>
      <c r="S67" s="186">
        <f t="shared" si="35"/>
        <v>0</v>
      </c>
      <c r="T67" s="186">
        <f t="shared" si="35"/>
        <v>0</v>
      </c>
      <c r="U67" s="186">
        <f t="shared" si="35"/>
        <v>0</v>
      </c>
      <c r="V67" s="186">
        <f t="shared" si="35"/>
        <v>0</v>
      </c>
      <c r="W67" s="186">
        <f t="shared" si="35"/>
        <v>4</v>
      </c>
      <c r="X67" s="186">
        <f t="shared" si="35"/>
        <v>0</v>
      </c>
      <c r="Y67" s="186">
        <f t="shared" si="35"/>
        <v>10</v>
      </c>
      <c r="Z67" s="186">
        <f t="shared" si="35"/>
        <v>0</v>
      </c>
      <c r="AA67" s="186">
        <f t="shared" si="35"/>
        <v>0</v>
      </c>
      <c r="AB67" s="186">
        <f t="shared" si="35"/>
        <v>0</v>
      </c>
      <c r="AC67" s="186">
        <f t="shared" si="35"/>
        <v>107</v>
      </c>
      <c r="AD67" s="186">
        <f t="shared" si="35"/>
        <v>0</v>
      </c>
      <c r="AE67" s="186">
        <f t="shared" si="35"/>
        <v>0</v>
      </c>
      <c r="AF67" s="186">
        <f t="shared" si="35"/>
        <v>0</v>
      </c>
      <c r="AG67" s="186">
        <f t="shared" si="35"/>
        <v>163</v>
      </c>
      <c r="AH67" s="186">
        <f t="shared" si="35"/>
        <v>38</v>
      </c>
      <c r="AI67" s="186">
        <f t="shared" si="35"/>
        <v>0</v>
      </c>
      <c r="AJ67" s="186">
        <f t="shared" si="35"/>
        <v>0</v>
      </c>
      <c r="AK67" s="187">
        <f t="shared" si="35"/>
        <v>5</v>
      </c>
      <c r="AL67" s="186">
        <f t="shared" si="35"/>
        <v>0</v>
      </c>
      <c r="AM67" s="188">
        <f t="shared" si="35"/>
        <v>0</v>
      </c>
      <c r="AN67" s="189">
        <f t="shared" si="35"/>
        <v>0</v>
      </c>
      <c r="AO67" s="186">
        <f t="shared" si="35"/>
        <v>0</v>
      </c>
      <c r="AP67" s="186">
        <f t="shared" si="35"/>
        <v>0</v>
      </c>
      <c r="AQ67" s="186">
        <f t="shared" si="35"/>
        <v>43</v>
      </c>
      <c r="AR67" s="186">
        <f t="shared" si="35"/>
        <v>0</v>
      </c>
      <c r="AS67" s="186">
        <f t="shared" si="35"/>
        <v>0</v>
      </c>
      <c r="AT67" s="186">
        <f t="shared" si="35"/>
        <v>0</v>
      </c>
      <c r="AU67" s="186">
        <f t="shared" si="35"/>
        <v>196</v>
      </c>
      <c r="AV67" s="186">
        <f t="shared" si="35"/>
        <v>10</v>
      </c>
      <c r="AW67" s="186">
        <f t="shared" si="35"/>
        <v>206</v>
      </c>
    </row>
    <row r="68" spans="1:49" x14ac:dyDescent="0.3">
      <c r="A68" s="231" t="s">
        <v>87</v>
      </c>
      <c r="B68" s="200" t="s">
        <v>247</v>
      </c>
      <c r="C68" s="225">
        <v>20</v>
      </c>
      <c r="D68" s="201"/>
      <c r="E68" s="192">
        <f t="shared" ref="E68:E74" si="36">C68+D68</f>
        <v>20</v>
      </c>
      <c r="F68" s="192">
        <v>4</v>
      </c>
      <c r="G68" s="192">
        <v>2</v>
      </c>
      <c r="H68" s="192"/>
      <c r="I68" s="192">
        <v>1</v>
      </c>
      <c r="J68" s="193">
        <f t="shared" ref="J68:J74" si="37">SUM(F68:I68)</f>
        <v>7</v>
      </c>
      <c r="K68" s="192">
        <v>6</v>
      </c>
      <c r="L68" s="192">
        <v>3</v>
      </c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>
        <v>2</v>
      </c>
      <c r="Z68" s="192"/>
      <c r="AA68" s="192">
        <v>1</v>
      </c>
      <c r="AB68" s="192" t="s">
        <v>39</v>
      </c>
      <c r="AC68" s="193">
        <f t="shared" si="32"/>
        <v>12</v>
      </c>
      <c r="AD68" s="192"/>
      <c r="AE68" s="192"/>
      <c r="AF68" s="192"/>
      <c r="AG68" s="193">
        <f t="shared" ref="AG68:AG74" si="38">SUM(F68:I68)+SUM(K68:AB68)+SUM(AD68:AF68)</f>
        <v>19</v>
      </c>
      <c r="AH68" s="192"/>
      <c r="AI68" s="192"/>
      <c r="AJ68" s="192"/>
      <c r="AK68" s="194">
        <v>4</v>
      </c>
      <c r="AL68" s="192"/>
      <c r="AM68" s="195"/>
      <c r="AN68" s="196"/>
      <c r="AO68" s="192"/>
      <c r="AP68" s="192"/>
      <c r="AQ68" s="193">
        <f t="shared" si="33"/>
        <v>4</v>
      </c>
      <c r="AR68" s="197"/>
      <c r="AS68" s="197"/>
      <c r="AT68" s="197"/>
      <c r="AU68" s="198">
        <f t="shared" ref="AU68:AU74" si="39">SUM(F68:I68)+SUM(K68:X68)+SUM(AD68:AF68)+SUM(AH68:AP68)+AR68</f>
        <v>20</v>
      </c>
      <c r="AV68" s="198">
        <f t="shared" ref="AV68:AV74" si="40">SUM(Y68:AB68)+SUM(AS68:AT68)</f>
        <v>3</v>
      </c>
      <c r="AW68" s="193">
        <f t="shared" si="3"/>
        <v>23</v>
      </c>
    </row>
    <row r="69" spans="1:49" x14ac:dyDescent="0.3">
      <c r="A69" s="232"/>
      <c r="B69" s="46" t="s">
        <v>248</v>
      </c>
      <c r="C69" s="224">
        <v>20</v>
      </c>
      <c r="D69" s="177"/>
      <c r="E69" s="178">
        <f t="shared" si="36"/>
        <v>20</v>
      </c>
      <c r="F69" s="178">
        <v>4</v>
      </c>
      <c r="G69" s="178">
        <v>2</v>
      </c>
      <c r="H69" s="178"/>
      <c r="I69" s="178">
        <v>1</v>
      </c>
      <c r="J69" s="180">
        <f t="shared" si="37"/>
        <v>7</v>
      </c>
      <c r="K69" s="178">
        <v>6</v>
      </c>
      <c r="L69" s="178">
        <v>3</v>
      </c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>
        <v>2</v>
      </c>
      <c r="Z69" s="178"/>
      <c r="AA69" s="178">
        <v>1</v>
      </c>
      <c r="AB69" s="178" t="s">
        <v>39</v>
      </c>
      <c r="AC69" s="180">
        <f t="shared" si="32"/>
        <v>12</v>
      </c>
      <c r="AD69" s="178"/>
      <c r="AE69" s="178"/>
      <c r="AF69" s="178"/>
      <c r="AG69" s="180">
        <f t="shared" si="38"/>
        <v>19</v>
      </c>
      <c r="AH69" s="178"/>
      <c r="AI69" s="178"/>
      <c r="AJ69" s="178"/>
      <c r="AK69" s="199">
        <v>4</v>
      </c>
      <c r="AL69" s="178"/>
      <c r="AM69" s="181"/>
      <c r="AN69" s="182"/>
      <c r="AO69" s="178"/>
      <c r="AP69" s="178"/>
      <c r="AQ69" s="180">
        <f t="shared" si="33"/>
        <v>4</v>
      </c>
      <c r="AR69" s="183"/>
      <c r="AS69" s="183"/>
      <c r="AT69" s="183"/>
      <c r="AU69" s="179">
        <f t="shared" si="39"/>
        <v>20</v>
      </c>
      <c r="AV69" s="179">
        <f t="shared" si="40"/>
        <v>3</v>
      </c>
      <c r="AW69" s="180">
        <f t="shared" si="3"/>
        <v>23</v>
      </c>
    </row>
    <row r="70" spans="1:49" x14ac:dyDescent="0.3">
      <c r="A70" s="232"/>
      <c r="B70" s="46" t="s">
        <v>249</v>
      </c>
      <c r="C70" s="224">
        <v>27</v>
      </c>
      <c r="D70" s="177"/>
      <c r="E70" s="178">
        <f t="shared" si="36"/>
        <v>27</v>
      </c>
      <c r="F70" s="178">
        <v>5</v>
      </c>
      <c r="G70" s="178">
        <v>3</v>
      </c>
      <c r="H70" s="178"/>
      <c r="I70" s="178">
        <v>1</v>
      </c>
      <c r="J70" s="180">
        <f t="shared" si="37"/>
        <v>9</v>
      </c>
      <c r="K70" s="178">
        <v>7</v>
      </c>
      <c r="L70" s="178">
        <v>5</v>
      </c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>
        <v>1</v>
      </c>
      <c r="Z70" s="178"/>
      <c r="AA70" s="178">
        <v>1</v>
      </c>
      <c r="AB70" s="178" t="s">
        <v>39</v>
      </c>
      <c r="AC70" s="180">
        <f t="shared" si="32"/>
        <v>14</v>
      </c>
      <c r="AD70" s="178"/>
      <c r="AE70" s="178"/>
      <c r="AF70" s="178"/>
      <c r="AG70" s="180">
        <f t="shared" si="38"/>
        <v>23</v>
      </c>
      <c r="AH70" s="178"/>
      <c r="AI70" s="178"/>
      <c r="AJ70" s="178"/>
      <c r="AK70" s="199">
        <v>6</v>
      </c>
      <c r="AL70" s="178"/>
      <c r="AM70" s="181"/>
      <c r="AN70" s="182"/>
      <c r="AO70" s="178"/>
      <c r="AP70" s="178"/>
      <c r="AQ70" s="180">
        <f t="shared" si="33"/>
        <v>6</v>
      </c>
      <c r="AR70" s="183"/>
      <c r="AS70" s="183"/>
      <c r="AT70" s="183"/>
      <c r="AU70" s="179">
        <f t="shared" si="39"/>
        <v>27</v>
      </c>
      <c r="AV70" s="179">
        <f t="shared" si="40"/>
        <v>2</v>
      </c>
      <c r="AW70" s="180">
        <f t="shared" si="3"/>
        <v>29</v>
      </c>
    </row>
    <row r="71" spans="1:49" x14ac:dyDescent="0.3">
      <c r="A71" s="232"/>
      <c r="B71" s="46" t="s">
        <v>250</v>
      </c>
      <c r="C71" s="224">
        <v>27</v>
      </c>
      <c r="D71" s="177"/>
      <c r="E71" s="178">
        <f t="shared" si="36"/>
        <v>27</v>
      </c>
      <c r="F71" s="178">
        <v>5</v>
      </c>
      <c r="G71" s="178">
        <v>3</v>
      </c>
      <c r="H71" s="178"/>
      <c r="I71" s="178">
        <v>1</v>
      </c>
      <c r="J71" s="180">
        <f t="shared" si="37"/>
        <v>9</v>
      </c>
      <c r="K71" s="178">
        <v>7</v>
      </c>
      <c r="L71" s="178">
        <v>5</v>
      </c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>
        <v>1</v>
      </c>
      <c r="Z71" s="178"/>
      <c r="AA71" s="178">
        <v>1</v>
      </c>
      <c r="AB71" s="178" t="s">
        <v>39</v>
      </c>
      <c r="AC71" s="180">
        <f t="shared" si="32"/>
        <v>14</v>
      </c>
      <c r="AD71" s="178"/>
      <c r="AE71" s="178"/>
      <c r="AF71" s="178"/>
      <c r="AG71" s="180">
        <f t="shared" si="38"/>
        <v>23</v>
      </c>
      <c r="AH71" s="178"/>
      <c r="AI71" s="178"/>
      <c r="AJ71" s="178"/>
      <c r="AK71" s="199">
        <v>6</v>
      </c>
      <c r="AL71" s="178"/>
      <c r="AM71" s="181"/>
      <c r="AN71" s="182"/>
      <c r="AO71" s="178"/>
      <c r="AP71" s="178"/>
      <c r="AQ71" s="180">
        <f t="shared" si="33"/>
        <v>6</v>
      </c>
      <c r="AR71" s="183"/>
      <c r="AS71" s="183"/>
      <c r="AT71" s="183"/>
      <c r="AU71" s="179">
        <f t="shared" si="39"/>
        <v>27</v>
      </c>
      <c r="AV71" s="179">
        <f t="shared" si="40"/>
        <v>2</v>
      </c>
      <c r="AW71" s="180">
        <f t="shared" si="3"/>
        <v>29</v>
      </c>
    </row>
    <row r="72" spans="1:49" x14ac:dyDescent="0.3">
      <c r="A72" s="232"/>
      <c r="B72" s="46" t="s">
        <v>251</v>
      </c>
      <c r="C72" s="224">
        <v>27</v>
      </c>
      <c r="D72" s="177"/>
      <c r="E72" s="178">
        <f t="shared" si="36"/>
        <v>27</v>
      </c>
      <c r="F72" s="178">
        <v>5</v>
      </c>
      <c r="G72" s="178">
        <v>3</v>
      </c>
      <c r="H72" s="178"/>
      <c r="I72" s="178">
        <v>1</v>
      </c>
      <c r="J72" s="180">
        <f t="shared" si="37"/>
        <v>9</v>
      </c>
      <c r="K72" s="178">
        <v>7</v>
      </c>
      <c r="L72" s="178">
        <v>5</v>
      </c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>
        <v>1</v>
      </c>
      <c r="Z72" s="178"/>
      <c r="AA72" s="178">
        <v>1</v>
      </c>
      <c r="AB72" s="178" t="s">
        <v>39</v>
      </c>
      <c r="AC72" s="180">
        <f t="shared" si="32"/>
        <v>14</v>
      </c>
      <c r="AD72" s="178"/>
      <c r="AE72" s="178"/>
      <c r="AF72" s="178"/>
      <c r="AG72" s="180">
        <f t="shared" si="38"/>
        <v>23</v>
      </c>
      <c r="AH72" s="178"/>
      <c r="AI72" s="178"/>
      <c r="AJ72" s="178"/>
      <c r="AK72" s="199">
        <v>6</v>
      </c>
      <c r="AL72" s="178"/>
      <c r="AM72" s="181"/>
      <c r="AN72" s="182"/>
      <c r="AO72" s="178"/>
      <c r="AP72" s="178"/>
      <c r="AQ72" s="180">
        <f t="shared" si="33"/>
        <v>6</v>
      </c>
      <c r="AR72" s="183"/>
      <c r="AS72" s="183"/>
      <c r="AT72" s="183"/>
      <c r="AU72" s="179">
        <f t="shared" si="39"/>
        <v>27</v>
      </c>
      <c r="AV72" s="179">
        <f t="shared" si="40"/>
        <v>2</v>
      </c>
      <c r="AW72" s="180">
        <f t="shared" ref="AW72:AW113" si="41">AU72+AV72</f>
        <v>29</v>
      </c>
    </row>
    <row r="73" spans="1:49" x14ac:dyDescent="0.3">
      <c r="A73" s="232"/>
      <c r="B73" s="46" t="s">
        <v>90</v>
      </c>
      <c r="C73" s="224">
        <v>22</v>
      </c>
      <c r="D73" s="226">
        <v>-1</v>
      </c>
      <c r="E73" s="178">
        <f t="shared" si="36"/>
        <v>21</v>
      </c>
      <c r="F73" s="178">
        <v>4</v>
      </c>
      <c r="G73" s="178">
        <v>3</v>
      </c>
      <c r="H73" s="178"/>
      <c r="I73" s="178">
        <v>1</v>
      </c>
      <c r="J73" s="180">
        <f t="shared" si="37"/>
        <v>8</v>
      </c>
      <c r="K73" s="183">
        <v>5</v>
      </c>
      <c r="L73" s="178">
        <v>3</v>
      </c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>
        <v>1</v>
      </c>
      <c r="Z73" s="178"/>
      <c r="AA73" s="178">
        <v>2</v>
      </c>
      <c r="AB73" s="178" t="s">
        <v>39</v>
      </c>
      <c r="AC73" s="180">
        <f t="shared" si="32"/>
        <v>11</v>
      </c>
      <c r="AD73" s="178"/>
      <c r="AE73" s="178"/>
      <c r="AF73" s="178"/>
      <c r="AG73" s="180">
        <f t="shared" si="38"/>
        <v>19</v>
      </c>
      <c r="AH73" s="178"/>
      <c r="AI73" s="178"/>
      <c r="AJ73" s="178"/>
      <c r="AK73" s="199">
        <v>5</v>
      </c>
      <c r="AL73" s="178"/>
      <c r="AM73" s="181"/>
      <c r="AN73" s="182"/>
      <c r="AO73" s="178"/>
      <c r="AP73" s="178"/>
      <c r="AQ73" s="180">
        <f t="shared" si="33"/>
        <v>5</v>
      </c>
      <c r="AR73" s="183"/>
      <c r="AS73" s="183"/>
      <c r="AT73" s="183"/>
      <c r="AU73" s="179">
        <f t="shared" si="39"/>
        <v>21</v>
      </c>
      <c r="AV73" s="179">
        <f t="shared" si="40"/>
        <v>3</v>
      </c>
      <c r="AW73" s="180">
        <f t="shared" si="41"/>
        <v>24</v>
      </c>
    </row>
    <row r="74" spans="1:49" x14ac:dyDescent="0.3">
      <c r="A74" s="233"/>
      <c r="B74" s="46" t="s">
        <v>252</v>
      </c>
      <c r="C74" s="224">
        <v>16</v>
      </c>
      <c r="D74" s="177"/>
      <c r="E74" s="178">
        <f t="shared" si="36"/>
        <v>16</v>
      </c>
      <c r="F74" s="178"/>
      <c r="G74" s="178"/>
      <c r="H74" s="178"/>
      <c r="I74" s="178"/>
      <c r="J74" s="180">
        <f t="shared" si="37"/>
        <v>0</v>
      </c>
      <c r="K74" s="178">
        <v>7</v>
      </c>
      <c r="L74" s="178">
        <v>5</v>
      </c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80">
        <f t="shared" si="32"/>
        <v>12</v>
      </c>
      <c r="AD74" s="178"/>
      <c r="AE74" s="178"/>
      <c r="AF74" s="178"/>
      <c r="AG74" s="180">
        <f t="shared" si="38"/>
        <v>12</v>
      </c>
      <c r="AH74" s="178">
        <v>4</v>
      </c>
      <c r="AI74" s="178"/>
      <c r="AJ74" s="178"/>
      <c r="AK74" s="199"/>
      <c r="AL74" s="178"/>
      <c r="AM74" s="181"/>
      <c r="AN74" s="182"/>
      <c r="AO74" s="178"/>
      <c r="AP74" s="178"/>
      <c r="AQ74" s="180">
        <f t="shared" si="33"/>
        <v>4</v>
      </c>
      <c r="AR74" s="183"/>
      <c r="AS74" s="183"/>
      <c r="AT74" s="183"/>
      <c r="AU74" s="179">
        <f t="shared" si="39"/>
        <v>16</v>
      </c>
      <c r="AV74" s="179">
        <f t="shared" si="40"/>
        <v>0</v>
      </c>
      <c r="AW74" s="180">
        <f t="shared" si="41"/>
        <v>16</v>
      </c>
    </row>
    <row r="75" spans="1:49" ht="17.25" thickBot="1" x14ac:dyDescent="0.35">
      <c r="A75" s="229" t="s">
        <v>36</v>
      </c>
      <c r="B75" s="184" t="s">
        <v>131</v>
      </c>
      <c r="C75" s="185">
        <f>SUM(C68:C74)</f>
        <v>159</v>
      </c>
      <c r="D75" s="185">
        <f t="shared" ref="D75:E75" si="42">SUM(D68:D74)</f>
        <v>-1</v>
      </c>
      <c r="E75" s="186">
        <f t="shared" si="42"/>
        <v>158</v>
      </c>
      <c r="F75" s="186">
        <f>SUM(F68:F74)</f>
        <v>27</v>
      </c>
      <c r="G75" s="186">
        <f t="shared" ref="G75:AW75" si="43">SUM(G68:G74)</f>
        <v>16</v>
      </c>
      <c r="H75" s="186">
        <f t="shared" si="43"/>
        <v>0</v>
      </c>
      <c r="I75" s="186">
        <f t="shared" si="43"/>
        <v>6</v>
      </c>
      <c r="J75" s="186">
        <f t="shared" si="43"/>
        <v>49</v>
      </c>
      <c r="K75" s="186">
        <f t="shared" si="43"/>
        <v>45</v>
      </c>
      <c r="L75" s="186">
        <f t="shared" si="43"/>
        <v>29</v>
      </c>
      <c r="M75" s="186">
        <f t="shared" si="43"/>
        <v>0</v>
      </c>
      <c r="N75" s="186">
        <f t="shared" si="43"/>
        <v>0</v>
      </c>
      <c r="O75" s="186">
        <f t="shared" si="43"/>
        <v>0</v>
      </c>
      <c r="P75" s="186">
        <f t="shared" si="43"/>
        <v>0</v>
      </c>
      <c r="Q75" s="186">
        <f t="shared" si="43"/>
        <v>0</v>
      </c>
      <c r="R75" s="186">
        <f t="shared" si="43"/>
        <v>0</v>
      </c>
      <c r="S75" s="186">
        <f t="shared" si="43"/>
        <v>0</v>
      </c>
      <c r="T75" s="186">
        <f t="shared" si="43"/>
        <v>0</v>
      </c>
      <c r="U75" s="186">
        <f t="shared" si="43"/>
        <v>0</v>
      </c>
      <c r="V75" s="186">
        <f t="shared" si="43"/>
        <v>0</v>
      </c>
      <c r="W75" s="186">
        <f t="shared" si="43"/>
        <v>0</v>
      </c>
      <c r="X75" s="186">
        <f t="shared" si="43"/>
        <v>0</v>
      </c>
      <c r="Y75" s="186">
        <f t="shared" si="43"/>
        <v>8</v>
      </c>
      <c r="Z75" s="186">
        <f t="shared" si="43"/>
        <v>0</v>
      </c>
      <c r="AA75" s="186">
        <f t="shared" si="43"/>
        <v>7</v>
      </c>
      <c r="AB75" s="186">
        <f t="shared" si="43"/>
        <v>0</v>
      </c>
      <c r="AC75" s="186">
        <f t="shared" si="43"/>
        <v>89</v>
      </c>
      <c r="AD75" s="186">
        <f t="shared" si="43"/>
        <v>0</v>
      </c>
      <c r="AE75" s="186">
        <f t="shared" si="43"/>
        <v>0</v>
      </c>
      <c r="AF75" s="186">
        <f t="shared" si="43"/>
        <v>0</v>
      </c>
      <c r="AG75" s="186">
        <f t="shared" si="43"/>
        <v>138</v>
      </c>
      <c r="AH75" s="186">
        <f t="shared" si="43"/>
        <v>4</v>
      </c>
      <c r="AI75" s="186">
        <f t="shared" si="43"/>
        <v>0</v>
      </c>
      <c r="AJ75" s="186">
        <f t="shared" si="43"/>
        <v>0</v>
      </c>
      <c r="AK75" s="187">
        <f t="shared" si="43"/>
        <v>31</v>
      </c>
      <c r="AL75" s="186">
        <f t="shared" si="43"/>
        <v>0</v>
      </c>
      <c r="AM75" s="188">
        <f t="shared" si="43"/>
        <v>0</v>
      </c>
      <c r="AN75" s="189">
        <f t="shared" si="43"/>
        <v>0</v>
      </c>
      <c r="AO75" s="186">
        <f t="shared" si="43"/>
        <v>0</v>
      </c>
      <c r="AP75" s="186">
        <f t="shared" si="43"/>
        <v>0</v>
      </c>
      <c r="AQ75" s="186">
        <f t="shared" si="43"/>
        <v>35</v>
      </c>
      <c r="AR75" s="186">
        <f t="shared" si="43"/>
        <v>0</v>
      </c>
      <c r="AS75" s="186">
        <f t="shared" si="43"/>
        <v>0</v>
      </c>
      <c r="AT75" s="186">
        <f t="shared" si="43"/>
        <v>0</v>
      </c>
      <c r="AU75" s="186">
        <f t="shared" si="43"/>
        <v>158</v>
      </c>
      <c r="AV75" s="186">
        <f t="shared" si="43"/>
        <v>15</v>
      </c>
      <c r="AW75" s="186">
        <f t="shared" si="43"/>
        <v>173</v>
      </c>
    </row>
    <row r="76" spans="1:49" x14ac:dyDescent="0.3">
      <c r="A76" s="228" t="s">
        <v>91</v>
      </c>
      <c r="B76" s="200" t="s">
        <v>253</v>
      </c>
      <c r="C76" s="225">
        <v>40</v>
      </c>
      <c r="D76" s="201"/>
      <c r="E76" s="192">
        <f>C76+D76</f>
        <v>40</v>
      </c>
      <c r="F76" s="192">
        <v>5</v>
      </c>
      <c r="G76" s="198"/>
      <c r="H76" s="198"/>
      <c r="I76" s="198"/>
      <c r="J76" s="193">
        <f>SUM(F76:I76)</f>
        <v>5</v>
      </c>
      <c r="K76" s="192">
        <v>0</v>
      </c>
      <c r="L76" s="192">
        <v>0</v>
      </c>
      <c r="M76" s="192"/>
      <c r="N76" s="192">
        <v>15</v>
      </c>
      <c r="O76" s="192">
        <v>10</v>
      </c>
      <c r="P76" s="192"/>
      <c r="Q76" s="192"/>
      <c r="R76" s="192"/>
      <c r="S76" s="192"/>
      <c r="T76" s="192"/>
      <c r="U76" s="192"/>
      <c r="V76" s="192"/>
      <c r="W76" s="198"/>
      <c r="X76" s="198"/>
      <c r="Y76" s="205">
        <v>1</v>
      </c>
      <c r="Z76" s="198"/>
      <c r="AA76" s="198"/>
      <c r="AB76" s="198"/>
      <c r="AC76" s="193">
        <f t="shared" si="32"/>
        <v>26</v>
      </c>
      <c r="AD76" s="198"/>
      <c r="AE76" s="198"/>
      <c r="AF76" s="198"/>
      <c r="AG76" s="193">
        <f>SUM(F76:I76)+SUM(K76:AB76)+SUM(AD76:AF76)</f>
        <v>31</v>
      </c>
      <c r="AH76" s="192">
        <v>10</v>
      </c>
      <c r="AI76" s="192"/>
      <c r="AJ76" s="198"/>
      <c r="AK76" s="206"/>
      <c r="AL76" s="198"/>
      <c r="AM76" s="207"/>
      <c r="AN76" s="208"/>
      <c r="AO76" s="198"/>
      <c r="AP76" s="198"/>
      <c r="AQ76" s="193">
        <f t="shared" si="33"/>
        <v>10</v>
      </c>
      <c r="AR76" s="197"/>
      <c r="AS76" s="197"/>
      <c r="AT76" s="197"/>
      <c r="AU76" s="198">
        <f>SUM(F76:I76)+SUM(K76:X76)+SUM(AD76:AF76)+SUM(AH76:AP76)+AR76</f>
        <v>40</v>
      </c>
      <c r="AV76" s="198">
        <f>SUM(Y76:AB76)+SUM(AS76:AT76)</f>
        <v>1</v>
      </c>
      <c r="AW76" s="193">
        <f t="shared" si="41"/>
        <v>41</v>
      </c>
    </row>
    <row r="77" spans="1:49" ht="17.25" thickBot="1" x14ac:dyDescent="0.35">
      <c r="A77" s="229" t="s">
        <v>36</v>
      </c>
      <c r="B77" s="184" t="s">
        <v>132</v>
      </c>
      <c r="C77" s="185">
        <f t="shared" ref="C77:AW77" si="44">SUM(C76)</f>
        <v>40</v>
      </c>
      <c r="D77" s="185">
        <f t="shared" si="44"/>
        <v>0</v>
      </c>
      <c r="E77" s="186">
        <f t="shared" si="44"/>
        <v>40</v>
      </c>
      <c r="F77" s="186">
        <f t="shared" si="44"/>
        <v>5</v>
      </c>
      <c r="G77" s="186">
        <f t="shared" si="44"/>
        <v>0</v>
      </c>
      <c r="H77" s="186"/>
      <c r="I77" s="186">
        <f t="shared" si="44"/>
        <v>0</v>
      </c>
      <c r="J77" s="186">
        <f t="shared" si="44"/>
        <v>5</v>
      </c>
      <c r="K77" s="186">
        <f t="shared" si="44"/>
        <v>0</v>
      </c>
      <c r="L77" s="186">
        <f t="shared" si="44"/>
        <v>0</v>
      </c>
      <c r="M77" s="186">
        <f t="shared" si="44"/>
        <v>0</v>
      </c>
      <c r="N77" s="186">
        <f t="shared" si="44"/>
        <v>15</v>
      </c>
      <c r="O77" s="186">
        <f t="shared" si="44"/>
        <v>10</v>
      </c>
      <c r="P77" s="186">
        <f t="shared" si="44"/>
        <v>0</v>
      </c>
      <c r="Q77" s="186">
        <f t="shared" si="44"/>
        <v>0</v>
      </c>
      <c r="R77" s="186">
        <f t="shared" si="44"/>
        <v>0</v>
      </c>
      <c r="S77" s="186">
        <f t="shared" si="44"/>
        <v>0</v>
      </c>
      <c r="T77" s="186">
        <f t="shared" si="44"/>
        <v>0</v>
      </c>
      <c r="U77" s="186">
        <f t="shared" si="44"/>
        <v>0</v>
      </c>
      <c r="V77" s="186">
        <f t="shared" si="44"/>
        <v>0</v>
      </c>
      <c r="W77" s="186">
        <f t="shared" si="44"/>
        <v>0</v>
      </c>
      <c r="X77" s="186">
        <f t="shared" si="44"/>
        <v>0</v>
      </c>
      <c r="Y77" s="186">
        <f t="shared" si="44"/>
        <v>1</v>
      </c>
      <c r="Z77" s="186">
        <f t="shared" si="44"/>
        <v>0</v>
      </c>
      <c r="AA77" s="186">
        <f t="shared" si="44"/>
        <v>0</v>
      </c>
      <c r="AB77" s="186">
        <f t="shared" si="44"/>
        <v>0</v>
      </c>
      <c r="AC77" s="186">
        <f t="shared" si="44"/>
        <v>26</v>
      </c>
      <c r="AD77" s="186">
        <f t="shared" si="44"/>
        <v>0</v>
      </c>
      <c r="AE77" s="186">
        <f t="shared" si="44"/>
        <v>0</v>
      </c>
      <c r="AF77" s="186">
        <f t="shared" si="44"/>
        <v>0</v>
      </c>
      <c r="AG77" s="186">
        <f t="shared" si="44"/>
        <v>31</v>
      </c>
      <c r="AH77" s="186">
        <f t="shared" si="44"/>
        <v>10</v>
      </c>
      <c r="AI77" s="186">
        <f t="shared" si="44"/>
        <v>0</v>
      </c>
      <c r="AJ77" s="186">
        <f t="shared" si="44"/>
        <v>0</v>
      </c>
      <c r="AK77" s="187">
        <f t="shared" si="44"/>
        <v>0</v>
      </c>
      <c r="AL77" s="186">
        <f t="shared" si="44"/>
        <v>0</v>
      </c>
      <c r="AM77" s="188">
        <f t="shared" si="44"/>
        <v>0</v>
      </c>
      <c r="AN77" s="189">
        <f t="shared" si="44"/>
        <v>0</v>
      </c>
      <c r="AO77" s="186">
        <f t="shared" si="44"/>
        <v>0</v>
      </c>
      <c r="AP77" s="186">
        <f t="shared" si="44"/>
        <v>0</v>
      </c>
      <c r="AQ77" s="186">
        <f t="shared" si="44"/>
        <v>10</v>
      </c>
      <c r="AR77" s="186">
        <f t="shared" si="44"/>
        <v>0</v>
      </c>
      <c r="AS77" s="186">
        <f t="shared" si="44"/>
        <v>0</v>
      </c>
      <c r="AT77" s="186">
        <f t="shared" si="44"/>
        <v>0</v>
      </c>
      <c r="AU77" s="186">
        <f t="shared" si="44"/>
        <v>40</v>
      </c>
      <c r="AV77" s="186">
        <f t="shared" si="44"/>
        <v>1</v>
      </c>
      <c r="AW77" s="186">
        <f t="shared" si="44"/>
        <v>41</v>
      </c>
    </row>
    <row r="78" spans="1:49" x14ac:dyDescent="0.3">
      <c r="A78" s="228" t="s">
        <v>95</v>
      </c>
      <c r="B78" s="203" t="s">
        <v>96</v>
      </c>
      <c r="C78" s="225">
        <v>50</v>
      </c>
      <c r="D78" s="201"/>
      <c r="E78" s="192">
        <f>C78+D78</f>
        <v>50</v>
      </c>
      <c r="F78" s="192"/>
      <c r="G78" s="192">
        <v>9</v>
      </c>
      <c r="H78" s="192"/>
      <c r="I78" s="192"/>
      <c r="J78" s="193">
        <f>SUM(F78:I78)</f>
        <v>9</v>
      </c>
      <c r="K78" s="192">
        <v>0</v>
      </c>
      <c r="L78" s="192">
        <v>0</v>
      </c>
      <c r="M78" s="192">
        <v>2</v>
      </c>
      <c r="N78" s="192">
        <v>13</v>
      </c>
      <c r="O78" s="192">
        <v>14</v>
      </c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>
        <v>4</v>
      </c>
      <c r="AA78" s="192"/>
      <c r="AB78" s="192"/>
      <c r="AC78" s="193">
        <f t="shared" si="32"/>
        <v>33</v>
      </c>
      <c r="AD78" s="192"/>
      <c r="AE78" s="192"/>
      <c r="AF78" s="192"/>
      <c r="AG78" s="193">
        <f>SUM(F78:I78)+SUM(K78:AB78)+SUM(AD78:AF78)</f>
        <v>42</v>
      </c>
      <c r="AH78" s="192">
        <v>9</v>
      </c>
      <c r="AI78" s="192">
        <v>3</v>
      </c>
      <c r="AJ78" s="192"/>
      <c r="AK78" s="194"/>
      <c r="AL78" s="192"/>
      <c r="AM78" s="195"/>
      <c r="AN78" s="196"/>
      <c r="AO78" s="192"/>
      <c r="AP78" s="192"/>
      <c r="AQ78" s="193">
        <f t="shared" si="33"/>
        <v>12</v>
      </c>
      <c r="AR78" s="197"/>
      <c r="AS78" s="197"/>
      <c r="AT78" s="197"/>
      <c r="AU78" s="198">
        <f>SUM(F78:I78)+SUM(K78:X78)+SUM(AD78:AF78)+SUM(AH78:AP78)+AR78</f>
        <v>50</v>
      </c>
      <c r="AV78" s="198">
        <f>SUM(Y78:AB78)+SUM(AS78:AT78)</f>
        <v>4</v>
      </c>
      <c r="AW78" s="193">
        <f t="shared" si="41"/>
        <v>54</v>
      </c>
    </row>
    <row r="79" spans="1:49" ht="17.25" thickBot="1" x14ac:dyDescent="0.35">
      <c r="A79" s="229" t="s">
        <v>36</v>
      </c>
      <c r="B79" s="184" t="s">
        <v>134</v>
      </c>
      <c r="C79" s="185">
        <f t="shared" ref="C79:AW79" si="45">SUM(C78)</f>
        <v>50</v>
      </c>
      <c r="D79" s="185">
        <f t="shared" si="45"/>
        <v>0</v>
      </c>
      <c r="E79" s="186">
        <f t="shared" si="45"/>
        <v>50</v>
      </c>
      <c r="F79" s="186">
        <f t="shared" si="45"/>
        <v>0</v>
      </c>
      <c r="G79" s="186">
        <f t="shared" si="45"/>
        <v>9</v>
      </c>
      <c r="H79" s="186"/>
      <c r="I79" s="186">
        <f t="shared" si="45"/>
        <v>0</v>
      </c>
      <c r="J79" s="186">
        <f t="shared" si="45"/>
        <v>9</v>
      </c>
      <c r="K79" s="186">
        <v>0</v>
      </c>
      <c r="L79" s="186">
        <f t="shared" si="45"/>
        <v>0</v>
      </c>
      <c r="M79" s="186">
        <f t="shared" si="45"/>
        <v>2</v>
      </c>
      <c r="N79" s="186">
        <f t="shared" si="45"/>
        <v>13</v>
      </c>
      <c r="O79" s="186">
        <f t="shared" si="45"/>
        <v>14</v>
      </c>
      <c r="P79" s="186">
        <f t="shared" si="45"/>
        <v>0</v>
      </c>
      <c r="Q79" s="186">
        <f t="shared" si="45"/>
        <v>0</v>
      </c>
      <c r="R79" s="186">
        <f t="shared" si="45"/>
        <v>0</v>
      </c>
      <c r="S79" s="186">
        <f t="shared" si="45"/>
        <v>0</v>
      </c>
      <c r="T79" s="186">
        <f t="shared" si="45"/>
        <v>0</v>
      </c>
      <c r="U79" s="186">
        <f t="shared" si="45"/>
        <v>0</v>
      </c>
      <c r="V79" s="186">
        <f t="shared" si="45"/>
        <v>0</v>
      </c>
      <c r="W79" s="186">
        <f t="shared" si="45"/>
        <v>0</v>
      </c>
      <c r="X79" s="186">
        <f t="shared" si="45"/>
        <v>0</v>
      </c>
      <c r="Y79" s="186">
        <f t="shared" si="45"/>
        <v>0</v>
      </c>
      <c r="Z79" s="186">
        <f t="shared" si="45"/>
        <v>4</v>
      </c>
      <c r="AA79" s="186">
        <f t="shared" si="45"/>
        <v>0</v>
      </c>
      <c r="AB79" s="186">
        <f t="shared" si="45"/>
        <v>0</v>
      </c>
      <c r="AC79" s="186">
        <f t="shared" si="45"/>
        <v>33</v>
      </c>
      <c r="AD79" s="186">
        <f t="shared" si="45"/>
        <v>0</v>
      </c>
      <c r="AE79" s="186">
        <f t="shared" si="45"/>
        <v>0</v>
      </c>
      <c r="AF79" s="186">
        <f t="shared" si="45"/>
        <v>0</v>
      </c>
      <c r="AG79" s="186">
        <f t="shared" si="45"/>
        <v>42</v>
      </c>
      <c r="AH79" s="186">
        <f t="shared" si="45"/>
        <v>9</v>
      </c>
      <c r="AI79" s="186">
        <f t="shared" si="45"/>
        <v>3</v>
      </c>
      <c r="AJ79" s="186">
        <f t="shared" si="45"/>
        <v>0</v>
      </c>
      <c r="AK79" s="187">
        <f t="shared" si="45"/>
        <v>0</v>
      </c>
      <c r="AL79" s="186">
        <f t="shared" si="45"/>
        <v>0</v>
      </c>
      <c r="AM79" s="188">
        <f t="shared" si="45"/>
        <v>0</v>
      </c>
      <c r="AN79" s="189">
        <f t="shared" si="45"/>
        <v>0</v>
      </c>
      <c r="AO79" s="186">
        <f t="shared" si="45"/>
        <v>0</v>
      </c>
      <c r="AP79" s="186">
        <f t="shared" si="45"/>
        <v>0</v>
      </c>
      <c r="AQ79" s="186">
        <f t="shared" si="45"/>
        <v>12</v>
      </c>
      <c r="AR79" s="186">
        <f t="shared" si="45"/>
        <v>0</v>
      </c>
      <c r="AS79" s="186">
        <f t="shared" si="45"/>
        <v>0</v>
      </c>
      <c r="AT79" s="186">
        <f t="shared" si="45"/>
        <v>0</v>
      </c>
      <c r="AU79" s="186">
        <f t="shared" si="45"/>
        <v>50</v>
      </c>
      <c r="AV79" s="186">
        <f t="shared" si="45"/>
        <v>4</v>
      </c>
      <c r="AW79" s="186">
        <f t="shared" si="45"/>
        <v>54</v>
      </c>
    </row>
    <row r="80" spans="1:49" x14ac:dyDescent="0.3">
      <c r="A80" s="228" t="s">
        <v>93</v>
      </c>
      <c r="B80" s="203" t="s">
        <v>94</v>
      </c>
      <c r="C80" s="225">
        <v>98</v>
      </c>
      <c r="D80" s="201"/>
      <c r="E80" s="192">
        <f>C80+D80</f>
        <v>98</v>
      </c>
      <c r="F80" s="192"/>
      <c r="G80" s="192">
        <v>22</v>
      </c>
      <c r="H80" s="192"/>
      <c r="I80" s="192"/>
      <c r="J80" s="193">
        <f>SUM(F80:I80)</f>
        <v>22</v>
      </c>
      <c r="K80" s="192">
        <v>0</v>
      </c>
      <c r="L80" s="192">
        <v>0</v>
      </c>
      <c r="M80" s="192">
        <v>2</v>
      </c>
      <c r="N80" s="192"/>
      <c r="O80" s="192"/>
      <c r="P80" s="192">
        <v>10</v>
      </c>
      <c r="Q80" s="192">
        <v>9</v>
      </c>
      <c r="R80" s="192">
        <v>2</v>
      </c>
      <c r="S80" s="192">
        <v>5</v>
      </c>
      <c r="T80" s="192">
        <v>4</v>
      </c>
      <c r="U80" s="192">
        <v>4</v>
      </c>
      <c r="V80" s="192">
        <v>15</v>
      </c>
      <c r="W80" s="192"/>
      <c r="X80" s="192"/>
      <c r="Y80" s="192"/>
      <c r="Z80" s="192"/>
      <c r="AA80" s="192"/>
      <c r="AB80" s="192"/>
      <c r="AC80" s="193">
        <f t="shared" si="32"/>
        <v>51</v>
      </c>
      <c r="AD80" s="198"/>
      <c r="AE80" s="198"/>
      <c r="AF80" s="198"/>
      <c r="AG80" s="193">
        <f>SUM(F80:I80)+SUM(K80:AB80)+SUM(AD80:AF80)</f>
        <v>73</v>
      </c>
      <c r="AH80" s="192">
        <v>17</v>
      </c>
      <c r="AI80" s="192">
        <v>8</v>
      </c>
      <c r="AJ80" s="198"/>
      <c r="AK80" s="206"/>
      <c r="AL80" s="198"/>
      <c r="AM80" s="207"/>
      <c r="AN80" s="208"/>
      <c r="AO80" s="198"/>
      <c r="AP80" s="198"/>
      <c r="AQ80" s="193">
        <f t="shared" si="33"/>
        <v>25</v>
      </c>
      <c r="AR80" s="197"/>
      <c r="AS80" s="197"/>
      <c r="AT80" s="197"/>
      <c r="AU80" s="198">
        <f>SUM(F80:I80)+SUM(K80:X80)+SUM(AD80:AF80)+SUM(AH80:AP80)+AR80</f>
        <v>98</v>
      </c>
      <c r="AV80" s="198">
        <f>SUM(Y80:AB80)+SUM(AS80:AT80)</f>
        <v>0</v>
      </c>
      <c r="AW80" s="193">
        <f t="shared" si="41"/>
        <v>98</v>
      </c>
    </row>
    <row r="81" spans="1:49" ht="17.25" thickBot="1" x14ac:dyDescent="0.35">
      <c r="A81" s="229" t="s">
        <v>36</v>
      </c>
      <c r="B81" s="184" t="s">
        <v>133</v>
      </c>
      <c r="C81" s="185">
        <f t="shared" ref="C81:AW81" si="46">SUM(C80)</f>
        <v>98</v>
      </c>
      <c r="D81" s="185">
        <f t="shared" si="46"/>
        <v>0</v>
      </c>
      <c r="E81" s="186">
        <f t="shared" si="46"/>
        <v>98</v>
      </c>
      <c r="F81" s="186">
        <f t="shared" si="46"/>
        <v>0</v>
      </c>
      <c r="G81" s="186">
        <f t="shared" si="46"/>
        <v>22</v>
      </c>
      <c r="H81" s="186"/>
      <c r="I81" s="186">
        <f t="shared" si="46"/>
        <v>0</v>
      </c>
      <c r="J81" s="186">
        <f t="shared" si="46"/>
        <v>22</v>
      </c>
      <c r="K81" s="186">
        <f t="shared" si="46"/>
        <v>0</v>
      </c>
      <c r="L81" s="186">
        <f t="shared" si="46"/>
        <v>0</v>
      </c>
      <c r="M81" s="186">
        <f t="shared" si="46"/>
        <v>2</v>
      </c>
      <c r="N81" s="186">
        <f t="shared" si="46"/>
        <v>0</v>
      </c>
      <c r="O81" s="186">
        <f t="shared" si="46"/>
        <v>0</v>
      </c>
      <c r="P81" s="186">
        <f t="shared" si="46"/>
        <v>10</v>
      </c>
      <c r="Q81" s="186">
        <f t="shared" si="46"/>
        <v>9</v>
      </c>
      <c r="R81" s="186">
        <f t="shared" si="46"/>
        <v>2</v>
      </c>
      <c r="S81" s="186">
        <f t="shared" si="46"/>
        <v>5</v>
      </c>
      <c r="T81" s="186">
        <f t="shared" si="46"/>
        <v>4</v>
      </c>
      <c r="U81" s="186">
        <f t="shared" si="46"/>
        <v>4</v>
      </c>
      <c r="V81" s="186">
        <f t="shared" si="46"/>
        <v>15</v>
      </c>
      <c r="W81" s="186">
        <f t="shared" si="46"/>
        <v>0</v>
      </c>
      <c r="X81" s="186">
        <f t="shared" si="46"/>
        <v>0</v>
      </c>
      <c r="Y81" s="186">
        <f t="shared" si="46"/>
        <v>0</v>
      </c>
      <c r="Z81" s="186">
        <f t="shared" si="46"/>
        <v>0</v>
      </c>
      <c r="AA81" s="186">
        <f t="shared" si="46"/>
        <v>0</v>
      </c>
      <c r="AB81" s="186">
        <f t="shared" si="46"/>
        <v>0</v>
      </c>
      <c r="AC81" s="186">
        <f t="shared" si="46"/>
        <v>51</v>
      </c>
      <c r="AD81" s="186">
        <f t="shared" si="46"/>
        <v>0</v>
      </c>
      <c r="AE81" s="186">
        <f t="shared" si="46"/>
        <v>0</v>
      </c>
      <c r="AF81" s="186">
        <f t="shared" si="46"/>
        <v>0</v>
      </c>
      <c r="AG81" s="186">
        <f t="shared" si="46"/>
        <v>73</v>
      </c>
      <c r="AH81" s="186">
        <f t="shared" si="46"/>
        <v>17</v>
      </c>
      <c r="AI81" s="186">
        <f t="shared" si="46"/>
        <v>8</v>
      </c>
      <c r="AJ81" s="186">
        <f t="shared" si="46"/>
        <v>0</v>
      </c>
      <c r="AK81" s="187">
        <f t="shared" si="46"/>
        <v>0</v>
      </c>
      <c r="AL81" s="186">
        <f t="shared" si="46"/>
        <v>0</v>
      </c>
      <c r="AM81" s="188">
        <f t="shared" si="46"/>
        <v>0</v>
      </c>
      <c r="AN81" s="189">
        <f t="shared" si="46"/>
        <v>0</v>
      </c>
      <c r="AO81" s="186">
        <f t="shared" si="46"/>
        <v>0</v>
      </c>
      <c r="AP81" s="186">
        <f t="shared" si="46"/>
        <v>0</v>
      </c>
      <c r="AQ81" s="186">
        <f t="shared" si="46"/>
        <v>25</v>
      </c>
      <c r="AR81" s="186">
        <f t="shared" si="46"/>
        <v>0</v>
      </c>
      <c r="AS81" s="186">
        <f t="shared" si="46"/>
        <v>0</v>
      </c>
      <c r="AT81" s="186">
        <f t="shared" si="46"/>
        <v>0</v>
      </c>
      <c r="AU81" s="186">
        <f t="shared" si="46"/>
        <v>98</v>
      </c>
      <c r="AV81" s="186">
        <f t="shared" si="46"/>
        <v>0</v>
      </c>
      <c r="AW81" s="186">
        <f t="shared" si="46"/>
        <v>98</v>
      </c>
    </row>
    <row r="82" spans="1:49" x14ac:dyDescent="0.3">
      <c r="A82" s="231" t="s">
        <v>97</v>
      </c>
      <c r="B82" s="203" t="s">
        <v>98</v>
      </c>
      <c r="C82" s="225">
        <v>22</v>
      </c>
      <c r="D82" s="201"/>
      <c r="E82" s="192">
        <f t="shared" ref="E82:E87" si="47">C82+D82</f>
        <v>22</v>
      </c>
      <c r="F82" s="192">
        <v>5</v>
      </c>
      <c r="G82" s="192">
        <v>3</v>
      </c>
      <c r="H82" s="192"/>
      <c r="I82" s="198">
        <v>1</v>
      </c>
      <c r="J82" s="193">
        <f t="shared" ref="J82:J87" si="48">SUM(F82:I82)</f>
        <v>9</v>
      </c>
      <c r="K82" s="192">
        <v>6</v>
      </c>
      <c r="L82" s="192">
        <v>3</v>
      </c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>
        <v>2</v>
      </c>
      <c r="Z82" s="192"/>
      <c r="AA82" s="192"/>
      <c r="AB82" s="192" t="s">
        <v>39</v>
      </c>
      <c r="AC82" s="193">
        <f t="shared" si="32"/>
        <v>11</v>
      </c>
      <c r="AD82" s="198"/>
      <c r="AE82" s="198"/>
      <c r="AF82" s="198"/>
      <c r="AG82" s="193">
        <f t="shared" ref="AG82:AG87" si="49">SUM(F82:I82)+SUM(K82:AB82)+SUM(AD82:AF82)</f>
        <v>20</v>
      </c>
      <c r="AH82" s="192">
        <v>4</v>
      </c>
      <c r="AI82" s="198"/>
      <c r="AJ82" s="198"/>
      <c r="AK82" s="206"/>
      <c r="AL82" s="198"/>
      <c r="AM82" s="207"/>
      <c r="AN82" s="208"/>
      <c r="AO82" s="198"/>
      <c r="AP82" s="198"/>
      <c r="AQ82" s="193">
        <f t="shared" si="33"/>
        <v>4</v>
      </c>
      <c r="AR82" s="197"/>
      <c r="AS82" s="197"/>
      <c r="AT82" s="197"/>
      <c r="AU82" s="198">
        <f t="shared" ref="AU82:AU87" si="50">SUM(F82:I82)+SUM(K82:X82)+SUM(AD82:AF82)+SUM(AH82:AP82)+AR82</f>
        <v>22</v>
      </c>
      <c r="AV82" s="198">
        <f t="shared" ref="AV82:AV87" si="51">SUM(Y82:AB82)+SUM(AS82:AT82)</f>
        <v>2</v>
      </c>
      <c r="AW82" s="193">
        <f t="shared" si="41"/>
        <v>24</v>
      </c>
    </row>
    <row r="83" spans="1:49" x14ac:dyDescent="0.3">
      <c r="A83" s="232"/>
      <c r="B83" s="6" t="s">
        <v>99</v>
      </c>
      <c r="C83" s="224">
        <v>23</v>
      </c>
      <c r="D83" s="177"/>
      <c r="E83" s="178">
        <f t="shared" si="47"/>
        <v>23</v>
      </c>
      <c r="F83" s="178">
        <v>5</v>
      </c>
      <c r="G83" s="178">
        <v>3</v>
      </c>
      <c r="H83" s="178"/>
      <c r="I83" s="179">
        <v>1</v>
      </c>
      <c r="J83" s="180">
        <f t="shared" si="48"/>
        <v>9</v>
      </c>
      <c r="K83" s="178">
        <v>7</v>
      </c>
      <c r="L83" s="178">
        <v>3</v>
      </c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>
        <v>2</v>
      </c>
      <c r="Z83" s="178"/>
      <c r="AA83" s="178"/>
      <c r="AB83" s="178" t="s">
        <v>39</v>
      </c>
      <c r="AC83" s="180">
        <f t="shared" si="32"/>
        <v>12</v>
      </c>
      <c r="AD83" s="179"/>
      <c r="AE83" s="179"/>
      <c r="AF83" s="179"/>
      <c r="AG83" s="180">
        <f t="shared" si="49"/>
        <v>21</v>
      </c>
      <c r="AH83" s="178">
        <v>4</v>
      </c>
      <c r="AI83" s="179"/>
      <c r="AJ83" s="179"/>
      <c r="AK83" s="209"/>
      <c r="AL83" s="179"/>
      <c r="AM83" s="210"/>
      <c r="AN83" s="211"/>
      <c r="AO83" s="179"/>
      <c r="AP83" s="179"/>
      <c r="AQ83" s="180">
        <f t="shared" si="33"/>
        <v>4</v>
      </c>
      <c r="AR83" s="183"/>
      <c r="AS83" s="183"/>
      <c r="AT83" s="183"/>
      <c r="AU83" s="179">
        <f t="shared" si="50"/>
        <v>23</v>
      </c>
      <c r="AV83" s="179">
        <f t="shared" si="51"/>
        <v>2</v>
      </c>
      <c r="AW83" s="180">
        <f t="shared" si="41"/>
        <v>25</v>
      </c>
    </row>
    <row r="84" spans="1:49" x14ac:dyDescent="0.3">
      <c r="A84" s="232"/>
      <c r="B84" s="6" t="s">
        <v>100</v>
      </c>
      <c r="C84" s="224">
        <v>21</v>
      </c>
      <c r="D84" s="177"/>
      <c r="E84" s="178">
        <f t="shared" si="47"/>
        <v>21</v>
      </c>
      <c r="F84" s="178">
        <v>4</v>
      </c>
      <c r="G84" s="178">
        <v>3</v>
      </c>
      <c r="H84" s="178"/>
      <c r="I84" s="179">
        <v>1</v>
      </c>
      <c r="J84" s="180">
        <f t="shared" si="48"/>
        <v>8</v>
      </c>
      <c r="K84" s="178">
        <v>6</v>
      </c>
      <c r="L84" s="178">
        <v>3</v>
      </c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>
        <v>2</v>
      </c>
      <c r="Z84" s="178"/>
      <c r="AA84" s="178"/>
      <c r="AB84" s="178" t="s">
        <v>39</v>
      </c>
      <c r="AC84" s="180">
        <f t="shared" si="32"/>
        <v>11</v>
      </c>
      <c r="AD84" s="179"/>
      <c r="AE84" s="179"/>
      <c r="AF84" s="179"/>
      <c r="AG84" s="180">
        <f t="shared" si="49"/>
        <v>19</v>
      </c>
      <c r="AH84" s="178">
        <v>4</v>
      </c>
      <c r="AI84" s="179"/>
      <c r="AJ84" s="179"/>
      <c r="AK84" s="209"/>
      <c r="AL84" s="179"/>
      <c r="AM84" s="210"/>
      <c r="AN84" s="211"/>
      <c r="AO84" s="179"/>
      <c r="AP84" s="179"/>
      <c r="AQ84" s="180">
        <f t="shared" si="33"/>
        <v>4</v>
      </c>
      <c r="AR84" s="183"/>
      <c r="AS84" s="183"/>
      <c r="AT84" s="183"/>
      <c r="AU84" s="179">
        <f t="shared" si="50"/>
        <v>21</v>
      </c>
      <c r="AV84" s="179">
        <f t="shared" si="51"/>
        <v>2</v>
      </c>
      <c r="AW84" s="180">
        <f t="shared" si="41"/>
        <v>23</v>
      </c>
    </row>
    <row r="85" spans="1:49" x14ac:dyDescent="0.3">
      <c r="A85" s="232"/>
      <c r="B85" s="46" t="s">
        <v>254</v>
      </c>
      <c r="C85" s="224">
        <v>23</v>
      </c>
      <c r="D85" s="177"/>
      <c r="E85" s="178">
        <f t="shared" si="47"/>
        <v>23</v>
      </c>
      <c r="F85" s="178">
        <v>5</v>
      </c>
      <c r="G85" s="178">
        <v>4</v>
      </c>
      <c r="H85" s="178"/>
      <c r="I85" s="178">
        <v>1</v>
      </c>
      <c r="J85" s="180">
        <f t="shared" si="48"/>
        <v>10</v>
      </c>
      <c r="K85" s="178">
        <v>6</v>
      </c>
      <c r="L85" s="178">
        <v>3</v>
      </c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>
        <v>1</v>
      </c>
      <c r="Z85" s="178"/>
      <c r="AA85" s="178"/>
      <c r="AB85" s="178" t="s">
        <v>39</v>
      </c>
      <c r="AC85" s="180">
        <f t="shared" si="32"/>
        <v>10</v>
      </c>
      <c r="AD85" s="179"/>
      <c r="AE85" s="179"/>
      <c r="AF85" s="179"/>
      <c r="AG85" s="180">
        <f t="shared" si="49"/>
        <v>20</v>
      </c>
      <c r="AH85" s="178">
        <v>4</v>
      </c>
      <c r="AI85" s="179"/>
      <c r="AJ85" s="179"/>
      <c r="AK85" s="209"/>
      <c r="AL85" s="179"/>
      <c r="AM85" s="210"/>
      <c r="AN85" s="211"/>
      <c r="AO85" s="179"/>
      <c r="AP85" s="179"/>
      <c r="AQ85" s="180">
        <f t="shared" si="33"/>
        <v>4</v>
      </c>
      <c r="AR85" s="183"/>
      <c r="AS85" s="183"/>
      <c r="AT85" s="183"/>
      <c r="AU85" s="179">
        <f t="shared" si="50"/>
        <v>23</v>
      </c>
      <c r="AV85" s="179">
        <f t="shared" si="51"/>
        <v>1</v>
      </c>
      <c r="AW85" s="180">
        <f t="shared" si="41"/>
        <v>24</v>
      </c>
    </row>
    <row r="86" spans="1:49" x14ac:dyDescent="0.3">
      <c r="A86" s="232"/>
      <c r="B86" s="46" t="s">
        <v>255</v>
      </c>
      <c r="C86" s="224">
        <v>27</v>
      </c>
      <c r="D86" s="177"/>
      <c r="E86" s="178">
        <f t="shared" si="47"/>
        <v>27</v>
      </c>
      <c r="F86" s="178">
        <v>6</v>
      </c>
      <c r="G86" s="178">
        <v>3</v>
      </c>
      <c r="H86" s="178"/>
      <c r="I86" s="178">
        <v>1</v>
      </c>
      <c r="J86" s="180">
        <f t="shared" si="48"/>
        <v>10</v>
      </c>
      <c r="K86" s="178">
        <v>7</v>
      </c>
      <c r="L86" s="178">
        <v>6</v>
      </c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>
        <v>1</v>
      </c>
      <c r="Z86" s="178"/>
      <c r="AA86" s="178"/>
      <c r="AB86" s="178" t="s">
        <v>39</v>
      </c>
      <c r="AC86" s="180">
        <f t="shared" si="32"/>
        <v>14</v>
      </c>
      <c r="AD86" s="179"/>
      <c r="AE86" s="179"/>
      <c r="AF86" s="179"/>
      <c r="AG86" s="180">
        <f t="shared" si="49"/>
        <v>24</v>
      </c>
      <c r="AH86" s="178">
        <v>4</v>
      </c>
      <c r="AI86" s="179"/>
      <c r="AJ86" s="179"/>
      <c r="AK86" s="209"/>
      <c r="AL86" s="179"/>
      <c r="AM86" s="210"/>
      <c r="AN86" s="211"/>
      <c r="AO86" s="179"/>
      <c r="AP86" s="179"/>
      <c r="AQ86" s="180">
        <f t="shared" si="33"/>
        <v>4</v>
      </c>
      <c r="AR86" s="183"/>
      <c r="AS86" s="183"/>
      <c r="AT86" s="183"/>
      <c r="AU86" s="179">
        <f t="shared" si="50"/>
        <v>27</v>
      </c>
      <c r="AV86" s="179">
        <f t="shared" si="51"/>
        <v>1</v>
      </c>
      <c r="AW86" s="180">
        <f t="shared" si="41"/>
        <v>28</v>
      </c>
    </row>
    <row r="87" spans="1:49" x14ac:dyDescent="0.3">
      <c r="A87" s="233"/>
      <c r="B87" s="46" t="s">
        <v>256</v>
      </c>
      <c r="C87" s="224">
        <v>14</v>
      </c>
      <c r="D87" s="177"/>
      <c r="E87" s="178">
        <f t="shared" si="47"/>
        <v>14</v>
      </c>
      <c r="F87" s="178"/>
      <c r="G87" s="178"/>
      <c r="H87" s="178"/>
      <c r="I87" s="178"/>
      <c r="J87" s="180">
        <f t="shared" si="48"/>
        <v>0</v>
      </c>
      <c r="K87" s="178">
        <v>6</v>
      </c>
      <c r="L87" s="178">
        <v>4</v>
      </c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80">
        <f t="shared" si="32"/>
        <v>10</v>
      </c>
      <c r="AD87" s="179"/>
      <c r="AE87" s="179"/>
      <c r="AF87" s="179"/>
      <c r="AG87" s="180">
        <f t="shared" si="49"/>
        <v>10</v>
      </c>
      <c r="AH87" s="179"/>
      <c r="AI87" s="179"/>
      <c r="AJ87" s="179"/>
      <c r="AK87" s="199">
        <v>4</v>
      </c>
      <c r="AL87" s="179"/>
      <c r="AM87" s="210"/>
      <c r="AN87" s="211"/>
      <c r="AO87" s="179"/>
      <c r="AP87" s="179"/>
      <c r="AQ87" s="180">
        <f t="shared" si="33"/>
        <v>4</v>
      </c>
      <c r="AR87" s="183"/>
      <c r="AS87" s="183"/>
      <c r="AT87" s="183"/>
      <c r="AU87" s="179">
        <f t="shared" si="50"/>
        <v>14</v>
      </c>
      <c r="AV87" s="179">
        <f t="shared" si="51"/>
        <v>0</v>
      </c>
      <c r="AW87" s="180">
        <f t="shared" si="41"/>
        <v>14</v>
      </c>
    </row>
    <row r="88" spans="1:49" ht="17.25" thickBot="1" x14ac:dyDescent="0.35">
      <c r="A88" s="229" t="s">
        <v>36</v>
      </c>
      <c r="B88" s="184" t="s">
        <v>135</v>
      </c>
      <c r="C88" s="185">
        <f>SUM(C82:C87)</f>
        <v>130</v>
      </c>
      <c r="D88" s="185">
        <f t="shared" ref="D88:G88" si="52">SUM(D82:D87)</f>
        <v>0</v>
      </c>
      <c r="E88" s="186">
        <f t="shared" si="52"/>
        <v>130</v>
      </c>
      <c r="F88" s="186">
        <f t="shared" si="52"/>
        <v>25</v>
      </c>
      <c r="G88" s="186">
        <f t="shared" si="52"/>
        <v>16</v>
      </c>
      <c r="H88" s="186"/>
      <c r="I88" s="186">
        <f t="shared" ref="I88:AW88" si="53">SUM(I82:I87)</f>
        <v>5</v>
      </c>
      <c r="J88" s="186">
        <f t="shared" si="53"/>
        <v>46</v>
      </c>
      <c r="K88" s="186">
        <f t="shared" si="53"/>
        <v>38</v>
      </c>
      <c r="L88" s="186">
        <f t="shared" si="53"/>
        <v>22</v>
      </c>
      <c r="M88" s="186">
        <f t="shared" si="53"/>
        <v>0</v>
      </c>
      <c r="N88" s="186">
        <f t="shared" si="53"/>
        <v>0</v>
      </c>
      <c r="O88" s="186">
        <f t="shared" si="53"/>
        <v>0</v>
      </c>
      <c r="P88" s="186">
        <f t="shared" si="53"/>
        <v>0</v>
      </c>
      <c r="Q88" s="186">
        <f t="shared" si="53"/>
        <v>0</v>
      </c>
      <c r="R88" s="186">
        <f t="shared" si="53"/>
        <v>0</v>
      </c>
      <c r="S88" s="186">
        <f t="shared" si="53"/>
        <v>0</v>
      </c>
      <c r="T88" s="186">
        <f t="shared" si="53"/>
        <v>0</v>
      </c>
      <c r="U88" s="186">
        <f t="shared" si="53"/>
        <v>0</v>
      </c>
      <c r="V88" s="186">
        <f t="shared" si="53"/>
        <v>0</v>
      </c>
      <c r="W88" s="186">
        <f t="shared" si="53"/>
        <v>0</v>
      </c>
      <c r="X88" s="186">
        <f t="shared" si="53"/>
        <v>0</v>
      </c>
      <c r="Y88" s="186">
        <f t="shared" si="53"/>
        <v>8</v>
      </c>
      <c r="Z88" s="186">
        <f t="shared" si="53"/>
        <v>0</v>
      </c>
      <c r="AA88" s="186">
        <f t="shared" si="53"/>
        <v>0</v>
      </c>
      <c r="AB88" s="186">
        <f t="shared" si="53"/>
        <v>0</v>
      </c>
      <c r="AC88" s="186">
        <f t="shared" si="53"/>
        <v>68</v>
      </c>
      <c r="AD88" s="186">
        <f t="shared" si="53"/>
        <v>0</v>
      </c>
      <c r="AE88" s="186">
        <f t="shared" si="53"/>
        <v>0</v>
      </c>
      <c r="AF88" s="186">
        <f t="shared" si="53"/>
        <v>0</v>
      </c>
      <c r="AG88" s="186">
        <f t="shared" si="53"/>
        <v>114</v>
      </c>
      <c r="AH88" s="186">
        <f t="shared" si="53"/>
        <v>20</v>
      </c>
      <c r="AI88" s="186">
        <f t="shared" si="53"/>
        <v>0</v>
      </c>
      <c r="AJ88" s="186">
        <f t="shared" si="53"/>
        <v>0</v>
      </c>
      <c r="AK88" s="187">
        <f t="shared" si="53"/>
        <v>4</v>
      </c>
      <c r="AL88" s="186">
        <f t="shared" si="53"/>
        <v>0</v>
      </c>
      <c r="AM88" s="188">
        <f t="shared" si="53"/>
        <v>0</v>
      </c>
      <c r="AN88" s="189">
        <f t="shared" si="53"/>
        <v>0</v>
      </c>
      <c r="AO88" s="186">
        <f t="shared" si="53"/>
        <v>0</v>
      </c>
      <c r="AP88" s="186">
        <f t="shared" si="53"/>
        <v>0</v>
      </c>
      <c r="AQ88" s="186">
        <f t="shared" si="53"/>
        <v>24</v>
      </c>
      <c r="AR88" s="186">
        <f t="shared" si="53"/>
        <v>0</v>
      </c>
      <c r="AS88" s="186">
        <f t="shared" si="53"/>
        <v>0</v>
      </c>
      <c r="AT88" s="186">
        <f t="shared" si="53"/>
        <v>0</v>
      </c>
      <c r="AU88" s="186">
        <f t="shared" si="53"/>
        <v>130</v>
      </c>
      <c r="AV88" s="186">
        <f t="shared" si="53"/>
        <v>8</v>
      </c>
      <c r="AW88" s="186">
        <f t="shared" si="53"/>
        <v>138</v>
      </c>
    </row>
    <row r="89" spans="1:49" x14ac:dyDescent="0.3">
      <c r="A89" s="231" t="s">
        <v>102</v>
      </c>
      <c r="B89" s="200" t="s">
        <v>257</v>
      </c>
      <c r="C89" s="225">
        <v>30</v>
      </c>
      <c r="D89" s="201"/>
      <c r="E89" s="192">
        <f t="shared" ref="E89:E97" si="54">C89+D89</f>
        <v>30</v>
      </c>
      <c r="F89" s="192">
        <v>6</v>
      </c>
      <c r="G89" s="192">
        <v>4</v>
      </c>
      <c r="H89" s="192"/>
      <c r="I89" s="192">
        <v>2</v>
      </c>
      <c r="J89" s="193">
        <f t="shared" ref="J89:J97" si="55">SUM(F89:I89)</f>
        <v>12</v>
      </c>
      <c r="K89" s="192">
        <v>7</v>
      </c>
      <c r="L89" s="192">
        <v>5</v>
      </c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>
        <v>1</v>
      </c>
      <c r="X89" s="192"/>
      <c r="Y89" s="192">
        <v>2</v>
      </c>
      <c r="Z89" s="192"/>
      <c r="AA89" s="192"/>
      <c r="AB89" s="192" t="s">
        <v>39</v>
      </c>
      <c r="AC89" s="193">
        <f t="shared" si="32"/>
        <v>15</v>
      </c>
      <c r="AD89" s="198"/>
      <c r="AE89" s="198"/>
      <c r="AF89" s="198"/>
      <c r="AG89" s="193">
        <f t="shared" ref="AG89:AG97" si="56">SUM(F89:I89)+SUM(K89:AB89)+SUM(AD89:AF89)</f>
        <v>27</v>
      </c>
      <c r="AH89" s="198"/>
      <c r="AI89" s="198"/>
      <c r="AJ89" s="198"/>
      <c r="AK89" s="194">
        <v>5</v>
      </c>
      <c r="AL89" s="192"/>
      <c r="AM89" s="195"/>
      <c r="AN89" s="196"/>
      <c r="AO89" s="192"/>
      <c r="AP89" s="192"/>
      <c r="AQ89" s="193">
        <f t="shared" si="33"/>
        <v>5</v>
      </c>
      <c r="AR89" s="197"/>
      <c r="AS89" s="197"/>
      <c r="AT89" s="197"/>
      <c r="AU89" s="198">
        <f t="shared" ref="AU89:AU97" si="57">SUM(F89:I89)+SUM(K89:X89)+SUM(AD89:AF89)+SUM(AH89:AP89)+AR89</f>
        <v>30</v>
      </c>
      <c r="AV89" s="198">
        <f t="shared" ref="AV89:AV97" si="58">SUM(Y89:AB89)+SUM(AS89:AT89)</f>
        <v>2</v>
      </c>
      <c r="AW89" s="193">
        <f t="shared" si="41"/>
        <v>32</v>
      </c>
    </row>
    <row r="90" spans="1:49" x14ac:dyDescent="0.3">
      <c r="A90" s="232"/>
      <c r="B90" s="46" t="s">
        <v>258</v>
      </c>
      <c r="C90" s="224">
        <v>23</v>
      </c>
      <c r="D90" s="177"/>
      <c r="E90" s="178">
        <f t="shared" si="54"/>
        <v>23</v>
      </c>
      <c r="F90" s="178">
        <v>4</v>
      </c>
      <c r="G90" s="178">
        <v>2</v>
      </c>
      <c r="H90" s="178"/>
      <c r="I90" s="178">
        <v>1</v>
      </c>
      <c r="J90" s="180">
        <f t="shared" si="55"/>
        <v>7</v>
      </c>
      <c r="K90" s="178">
        <v>7</v>
      </c>
      <c r="L90" s="178">
        <v>4</v>
      </c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>
        <v>1</v>
      </c>
      <c r="X90" s="178"/>
      <c r="Y90" s="178">
        <v>1</v>
      </c>
      <c r="Z90" s="178"/>
      <c r="AA90" s="178"/>
      <c r="AB90" s="178" t="s">
        <v>39</v>
      </c>
      <c r="AC90" s="180">
        <f t="shared" si="32"/>
        <v>13</v>
      </c>
      <c r="AD90" s="179"/>
      <c r="AE90" s="179"/>
      <c r="AF90" s="179"/>
      <c r="AG90" s="180">
        <f t="shared" si="56"/>
        <v>20</v>
      </c>
      <c r="AH90" s="179"/>
      <c r="AI90" s="179"/>
      <c r="AJ90" s="179"/>
      <c r="AK90" s="199">
        <v>4</v>
      </c>
      <c r="AL90" s="178"/>
      <c r="AM90" s="181"/>
      <c r="AN90" s="182"/>
      <c r="AO90" s="178"/>
      <c r="AP90" s="178"/>
      <c r="AQ90" s="180">
        <f t="shared" si="33"/>
        <v>4</v>
      </c>
      <c r="AR90" s="183"/>
      <c r="AS90" s="183"/>
      <c r="AT90" s="183"/>
      <c r="AU90" s="179">
        <f t="shared" si="57"/>
        <v>23</v>
      </c>
      <c r="AV90" s="179">
        <f t="shared" si="58"/>
        <v>1</v>
      </c>
      <c r="AW90" s="180">
        <f t="shared" si="41"/>
        <v>24</v>
      </c>
    </row>
    <row r="91" spans="1:49" x14ac:dyDescent="0.3">
      <c r="A91" s="232"/>
      <c r="B91" s="46" t="s">
        <v>259</v>
      </c>
      <c r="C91" s="224">
        <v>20</v>
      </c>
      <c r="D91" s="177"/>
      <c r="E91" s="178">
        <f t="shared" si="54"/>
        <v>20</v>
      </c>
      <c r="F91" s="178">
        <v>4</v>
      </c>
      <c r="G91" s="178">
        <v>2</v>
      </c>
      <c r="H91" s="178"/>
      <c r="I91" s="178">
        <v>1</v>
      </c>
      <c r="J91" s="180">
        <f t="shared" si="55"/>
        <v>7</v>
      </c>
      <c r="K91" s="178">
        <v>5</v>
      </c>
      <c r="L91" s="178">
        <v>3</v>
      </c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>
        <v>1</v>
      </c>
      <c r="X91" s="178"/>
      <c r="Y91" s="178">
        <v>1</v>
      </c>
      <c r="Z91" s="178"/>
      <c r="AA91" s="178"/>
      <c r="AB91" s="178" t="s">
        <v>39</v>
      </c>
      <c r="AC91" s="180">
        <f t="shared" si="32"/>
        <v>10</v>
      </c>
      <c r="AD91" s="179"/>
      <c r="AE91" s="179"/>
      <c r="AF91" s="179"/>
      <c r="AG91" s="180">
        <f t="shared" si="56"/>
        <v>17</v>
      </c>
      <c r="AH91" s="179"/>
      <c r="AI91" s="179"/>
      <c r="AJ91" s="179"/>
      <c r="AK91" s="199">
        <v>4</v>
      </c>
      <c r="AL91" s="178"/>
      <c r="AM91" s="181"/>
      <c r="AN91" s="182"/>
      <c r="AO91" s="178"/>
      <c r="AP91" s="178"/>
      <c r="AQ91" s="180">
        <f t="shared" si="33"/>
        <v>4</v>
      </c>
      <c r="AR91" s="183"/>
      <c r="AS91" s="183"/>
      <c r="AT91" s="183"/>
      <c r="AU91" s="179">
        <f t="shared" si="57"/>
        <v>20</v>
      </c>
      <c r="AV91" s="179">
        <f t="shared" si="58"/>
        <v>1</v>
      </c>
      <c r="AW91" s="180">
        <f t="shared" si="41"/>
        <v>21</v>
      </c>
    </row>
    <row r="92" spans="1:49" x14ac:dyDescent="0.3">
      <c r="A92" s="232"/>
      <c r="B92" s="46" t="s">
        <v>260</v>
      </c>
      <c r="C92" s="224">
        <v>29</v>
      </c>
      <c r="D92" s="177"/>
      <c r="E92" s="178">
        <f t="shared" si="54"/>
        <v>29</v>
      </c>
      <c r="F92" s="178">
        <v>6</v>
      </c>
      <c r="G92" s="178">
        <v>4</v>
      </c>
      <c r="H92" s="178"/>
      <c r="I92" s="178">
        <v>2</v>
      </c>
      <c r="J92" s="180">
        <f t="shared" si="55"/>
        <v>12</v>
      </c>
      <c r="K92" s="178">
        <v>7</v>
      </c>
      <c r="L92" s="178">
        <v>4</v>
      </c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>
        <v>1</v>
      </c>
      <c r="X92" s="178"/>
      <c r="Y92" s="178">
        <v>2</v>
      </c>
      <c r="Z92" s="178"/>
      <c r="AA92" s="178"/>
      <c r="AB92" s="178" t="s">
        <v>39</v>
      </c>
      <c r="AC92" s="180">
        <f t="shared" si="32"/>
        <v>14</v>
      </c>
      <c r="AD92" s="179"/>
      <c r="AE92" s="179"/>
      <c r="AF92" s="179"/>
      <c r="AG92" s="180">
        <f t="shared" si="56"/>
        <v>26</v>
      </c>
      <c r="AH92" s="179"/>
      <c r="AI92" s="179"/>
      <c r="AJ92" s="179"/>
      <c r="AK92" s="199">
        <v>5</v>
      </c>
      <c r="AL92" s="178"/>
      <c r="AM92" s="181"/>
      <c r="AN92" s="182"/>
      <c r="AO92" s="178"/>
      <c r="AP92" s="178"/>
      <c r="AQ92" s="180">
        <f t="shared" si="33"/>
        <v>5</v>
      </c>
      <c r="AR92" s="183"/>
      <c r="AS92" s="183"/>
      <c r="AT92" s="183"/>
      <c r="AU92" s="179">
        <f t="shared" si="57"/>
        <v>29</v>
      </c>
      <c r="AV92" s="179">
        <f t="shared" si="58"/>
        <v>2</v>
      </c>
      <c r="AW92" s="180">
        <f t="shared" si="41"/>
        <v>31</v>
      </c>
    </row>
    <row r="93" spans="1:49" x14ac:dyDescent="0.3">
      <c r="A93" s="232"/>
      <c r="B93" s="46" t="s">
        <v>261</v>
      </c>
      <c r="C93" s="224">
        <v>28</v>
      </c>
      <c r="D93" s="177"/>
      <c r="E93" s="178">
        <f t="shared" si="54"/>
        <v>28</v>
      </c>
      <c r="F93" s="178">
        <v>6</v>
      </c>
      <c r="G93" s="178">
        <v>4</v>
      </c>
      <c r="H93" s="178"/>
      <c r="I93" s="178">
        <v>1</v>
      </c>
      <c r="J93" s="180">
        <f t="shared" si="55"/>
        <v>11</v>
      </c>
      <c r="K93" s="178">
        <v>7</v>
      </c>
      <c r="L93" s="178">
        <v>4</v>
      </c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>
        <v>1</v>
      </c>
      <c r="X93" s="178"/>
      <c r="Y93" s="178">
        <v>2</v>
      </c>
      <c r="Z93" s="178"/>
      <c r="AA93" s="178"/>
      <c r="AB93" s="178" t="s">
        <v>39</v>
      </c>
      <c r="AC93" s="180">
        <f t="shared" si="32"/>
        <v>14</v>
      </c>
      <c r="AD93" s="179"/>
      <c r="AE93" s="179"/>
      <c r="AF93" s="179"/>
      <c r="AG93" s="180">
        <f t="shared" si="56"/>
        <v>25</v>
      </c>
      <c r="AH93" s="179"/>
      <c r="AI93" s="179"/>
      <c r="AJ93" s="179"/>
      <c r="AK93" s="199">
        <v>5</v>
      </c>
      <c r="AL93" s="178"/>
      <c r="AM93" s="181"/>
      <c r="AN93" s="182"/>
      <c r="AO93" s="178"/>
      <c r="AP93" s="178"/>
      <c r="AQ93" s="180">
        <f t="shared" si="33"/>
        <v>5</v>
      </c>
      <c r="AR93" s="183"/>
      <c r="AS93" s="183"/>
      <c r="AT93" s="183"/>
      <c r="AU93" s="179">
        <f t="shared" si="57"/>
        <v>28</v>
      </c>
      <c r="AV93" s="179">
        <f t="shared" si="58"/>
        <v>2</v>
      </c>
      <c r="AW93" s="180">
        <f t="shared" si="41"/>
        <v>30</v>
      </c>
    </row>
    <row r="94" spans="1:49" x14ac:dyDescent="0.3">
      <c r="A94" s="232"/>
      <c r="B94" s="46" t="s">
        <v>208</v>
      </c>
      <c r="C94" s="224">
        <v>21</v>
      </c>
      <c r="D94" s="177"/>
      <c r="E94" s="178">
        <f t="shared" si="54"/>
        <v>21</v>
      </c>
      <c r="F94" s="178">
        <v>4</v>
      </c>
      <c r="G94" s="178">
        <v>2</v>
      </c>
      <c r="H94" s="178"/>
      <c r="I94" s="178">
        <v>1</v>
      </c>
      <c r="J94" s="180">
        <f t="shared" si="55"/>
        <v>7</v>
      </c>
      <c r="K94" s="178">
        <v>6</v>
      </c>
      <c r="L94" s="178">
        <v>3</v>
      </c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>
        <v>1</v>
      </c>
      <c r="X94" s="178"/>
      <c r="Y94" s="178">
        <v>1</v>
      </c>
      <c r="Z94" s="178"/>
      <c r="AA94" s="178"/>
      <c r="AB94" s="178" t="s">
        <v>39</v>
      </c>
      <c r="AC94" s="180">
        <f t="shared" si="32"/>
        <v>11</v>
      </c>
      <c r="AD94" s="179"/>
      <c r="AE94" s="179"/>
      <c r="AF94" s="179"/>
      <c r="AG94" s="180">
        <f t="shared" si="56"/>
        <v>18</v>
      </c>
      <c r="AH94" s="179"/>
      <c r="AI94" s="179"/>
      <c r="AJ94" s="179"/>
      <c r="AK94" s="199">
        <v>4</v>
      </c>
      <c r="AL94" s="178"/>
      <c r="AM94" s="181"/>
      <c r="AN94" s="182"/>
      <c r="AO94" s="178"/>
      <c r="AP94" s="178"/>
      <c r="AQ94" s="180">
        <f t="shared" si="33"/>
        <v>4</v>
      </c>
      <c r="AR94" s="183"/>
      <c r="AS94" s="183"/>
      <c r="AT94" s="183"/>
      <c r="AU94" s="179">
        <f t="shared" si="57"/>
        <v>21</v>
      </c>
      <c r="AV94" s="179">
        <f t="shared" si="58"/>
        <v>1</v>
      </c>
      <c r="AW94" s="180">
        <f t="shared" si="41"/>
        <v>22</v>
      </c>
    </row>
    <row r="95" spans="1:49" x14ac:dyDescent="0.3">
      <c r="A95" s="232"/>
      <c r="B95" s="46" t="s">
        <v>262</v>
      </c>
      <c r="C95" s="224">
        <v>29</v>
      </c>
      <c r="D95" s="177"/>
      <c r="E95" s="178">
        <f t="shared" si="54"/>
        <v>29</v>
      </c>
      <c r="F95" s="178">
        <v>6</v>
      </c>
      <c r="G95" s="178">
        <v>4</v>
      </c>
      <c r="H95" s="178"/>
      <c r="I95" s="178">
        <v>2</v>
      </c>
      <c r="J95" s="180">
        <f t="shared" si="55"/>
        <v>12</v>
      </c>
      <c r="K95" s="178">
        <v>7</v>
      </c>
      <c r="L95" s="178">
        <v>4</v>
      </c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>
        <v>1</v>
      </c>
      <c r="X95" s="178"/>
      <c r="Y95" s="178">
        <v>2</v>
      </c>
      <c r="Z95" s="178"/>
      <c r="AA95" s="178"/>
      <c r="AB95" s="178" t="s">
        <v>39</v>
      </c>
      <c r="AC95" s="180">
        <f t="shared" si="32"/>
        <v>14</v>
      </c>
      <c r="AD95" s="179"/>
      <c r="AE95" s="179"/>
      <c r="AF95" s="179"/>
      <c r="AG95" s="180">
        <f t="shared" si="56"/>
        <v>26</v>
      </c>
      <c r="AH95" s="179"/>
      <c r="AI95" s="179"/>
      <c r="AJ95" s="179"/>
      <c r="AK95" s="199">
        <v>5</v>
      </c>
      <c r="AL95" s="178"/>
      <c r="AM95" s="181"/>
      <c r="AN95" s="182"/>
      <c r="AO95" s="178"/>
      <c r="AP95" s="178"/>
      <c r="AQ95" s="180">
        <f t="shared" si="33"/>
        <v>5</v>
      </c>
      <c r="AR95" s="183"/>
      <c r="AS95" s="183"/>
      <c r="AT95" s="183"/>
      <c r="AU95" s="179">
        <f t="shared" si="57"/>
        <v>29</v>
      </c>
      <c r="AV95" s="179">
        <f t="shared" si="58"/>
        <v>2</v>
      </c>
      <c r="AW95" s="180">
        <f t="shared" si="41"/>
        <v>31</v>
      </c>
    </row>
    <row r="96" spans="1:49" x14ac:dyDescent="0.3">
      <c r="A96" s="232"/>
      <c r="B96" s="46" t="s">
        <v>263</v>
      </c>
      <c r="C96" s="224">
        <v>22</v>
      </c>
      <c r="D96" s="177"/>
      <c r="E96" s="178">
        <f t="shared" si="54"/>
        <v>22</v>
      </c>
      <c r="F96" s="178">
        <v>4</v>
      </c>
      <c r="G96" s="178">
        <v>2</v>
      </c>
      <c r="H96" s="178"/>
      <c r="I96" s="178">
        <v>1</v>
      </c>
      <c r="J96" s="180">
        <f t="shared" si="55"/>
        <v>7</v>
      </c>
      <c r="K96" s="178">
        <v>6</v>
      </c>
      <c r="L96" s="178">
        <v>4</v>
      </c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>
        <v>1</v>
      </c>
      <c r="X96" s="178"/>
      <c r="Y96" s="178">
        <v>1</v>
      </c>
      <c r="Z96" s="178"/>
      <c r="AA96" s="178"/>
      <c r="AB96" s="178" t="s">
        <v>39</v>
      </c>
      <c r="AC96" s="180">
        <f t="shared" si="32"/>
        <v>12</v>
      </c>
      <c r="AD96" s="179"/>
      <c r="AE96" s="179"/>
      <c r="AF96" s="179"/>
      <c r="AG96" s="180">
        <f t="shared" si="56"/>
        <v>19</v>
      </c>
      <c r="AH96" s="179"/>
      <c r="AI96" s="179"/>
      <c r="AJ96" s="179"/>
      <c r="AK96" s="199">
        <v>4</v>
      </c>
      <c r="AL96" s="178"/>
      <c r="AM96" s="181"/>
      <c r="AN96" s="182"/>
      <c r="AO96" s="178"/>
      <c r="AP96" s="178"/>
      <c r="AQ96" s="180">
        <f t="shared" si="33"/>
        <v>4</v>
      </c>
      <c r="AR96" s="183"/>
      <c r="AS96" s="183"/>
      <c r="AT96" s="183"/>
      <c r="AU96" s="179">
        <f t="shared" si="57"/>
        <v>22</v>
      </c>
      <c r="AV96" s="179">
        <f t="shared" si="58"/>
        <v>1</v>
      </c>
      <c r="AW96" s="180">
        <f t="shared" si="41"/>
        <v>23</v>
      </c>
    </row>
    <row r="97" spans="1:49" x14ac:dyDescent="0.3">
      <c r="A97" s="233"/>
      <c r="B97" s="46" t="s">
        <v>264</v>
      </c>
      <c r="C97" s="224">
        <v>24</v>
      </c>
      <c r="D97" s="177"/>
      <c r="E97" s="178">
        <f t="shared" si="54"/>
        <v>24</v>
      </c>
      <c r="F97" s="178"/>
      <c r="G97" s="178"/>
      <c r="H97" s="178"/>
      <c r="I97" s="178"/>
      <c r="J97" s="180">
        <f t="shared" si="55"/>
        <v>0</v>
      </c>
      <c r="K97" s="178">
        <v>10</v>
      </c>
      <c r="L97" s="178">
        <v>8</v>
      </c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80">
        <f t="shared" si="32"/>
        <v>18</v>
      </c>
      <c r="AD97" s="179"/>
      <c r="AE97" s="179"/>
      <c r="AF97" s="179"/>
      <c r="AG97" s="180">
        <f t="shared" si="56"/>
        <v>18</v>
      </c>
      <c r="AH97" s="178">
        <v>6</v>
      </c>
      <c r="AI97" s="179"/>
      <c r="AJ97" s="179"/>
      <c r="AK97" s="199"/>
      <c r="AL97" s="178"/>
      <c r="AM97" s="181"/>
      <c r="AN97" s="182"/>
      <c r="AO97" s="178"/>
      <c r="AP97" s="178"/>
      <c r="AQ97" s="180">
        <f t="shared" si="33"/>
        <v>6</v>
      </c>
      <c r="AR97" s="183"/>
      <c r="AS97" s="183"/>
      <c r="AT97" s="183"/>
      <c r="AU97" s="179">
        <f t="shared" si="57"/>
        <v>24</v>
      </c>
      <c r="AV97" s="179">
        <f t="shared" si="58"/>
        <v>0</v>
      </c>
      <c r="AW97" s="180">
        <f t="shared" si="41"/>
        <v>24</v>
      </c>
    </row>
    <row r="98" spans="1:49" ht="17.25" thickBot="1" x14ac:dyDescent="0.35">
      <c r="A98" s="229" t="s">
        <v>36</v>
      </c>
      <c r="B98" s="184" t="s">
        <v>136</v>
      </c>
      <c r="C98" s="185">
        <f>SUM(C89:C97)</f>
        <v>226</v>
      </c>
      <c r="D98" s="185">
        <f t="shared" ref="D98:G98" si="59">SUM(D89:D97)</f>
        <v>0</v>
      </c>
      <c r="E98" s="186">
        <f t="shared" si="59"/>
        <v>226</v>
      </c>
      <c r="F98" s="186">
        <f t="shared" si="59"/>
        <v>40</v>
      </c>
      <c r="G98" s="186">
        <f t="shared" si="59"/>
        <v>24</v>
      </c>
      <c r="H98" s="186"/>
      <c r="I98" s="186">
        <f t="shared" ref="I98:AV98" si="60">SUM(I89:I97)</f>
        <v>11</v>
      </c>
      <c r="J98" s="186">
        <f t="shared" si="60"/>
        <v>75</v>
      </c>
      <c r="K98" s="186">
        <f t="shared" si="60"/>
        <v>62</v>
      </c>
      <c r="L98" s="186">
        <f t="shared" si="60"/>
        <v>39</v>
      </c>
      <c r="M98" s="186">
        <f t="shared" si="60"/>
        <v>0</v>
      </c>
      <c r="N98" s="186">
        <f t="shared" si="60"/>
        <v>0</v>
      </c>
      <c r="O98" s="186">
        <f t="shared" si="60"/>
        <v>0</v>
      </c>
      <c r="P98" s="186">
        <f t="shared" si="60"/>
        <v>0</v>
      </c>
      <c r="Q98" s="186">
        <f t="shared" si="60"/>
        <v>0</v>
      </c>
      <c r="R98" s="186">
        <f t="shared" si="60"/>
        <v>0</v>
      </c>
      <c r="S98" s="186">
        <f t="shared" si="60"/>
        <v>0</v>
      </c>
      <c r="T98" s="186">
        <f t="shared" si="60"/>
        <v>0</v>
      </c>
      <c r="U98" s="186">
        <f t="shared" si="60"/>
        <v>0</v>
      </c>
      <c r="V98" s="186">
        <f t="shared" si="60"/>
        <v>0</v>
      </c>
      <c r="W98" s="186">
        <f t="shared" si="60"/>
        <v>8</v>
      </c>
      <c r="X98" s="186">
        <f t="shared" si="60"/>
        <v>0</v>
      </c>
      <c r="Y98" s="186">
        <f t="shared" si="60"/>
        <v>12</v>
      </c>
      <c r="Z98" s="186">
        <f t="shared" si="60"/>
        <v>0</v>
      </c>
      <c r="AA98" s="186">
        <f t="shared" si="60"/>
        <v>0</v>
      </c>
      <c r="AB98" s="186">
        <f t="shared" si="60"/>
        <v>0</v>
      </c>
      <c r="AC98" s="186">
        <f t="shared" si="60"/>
        <v>121</v>
      </c>
      <c r="AD98" s="186">
        <f t="shared" si="60"/>
        <v>0</v>
      </c>
      <c r="AE98" s="186">
        <f t="shared" si="60"/>
        <v>0</v>
      </c>
      <c r="AF98" s="186">
        <f t="shared" si="60"/>
        <v>0</v>
      </c>
      <c r="AG98" s="186">
        <f t="shared" si="60"/>
        <v>196</v>
      </c>
      <c r="AH98" s="186">
        <f t="shared" si="60"/>
        <v>6</v>
      </c>
      <c r="AI98" s="186">
        <f t="shared" si="60"/>
        <v>0</v>
      </c>
      <c r="AJ98" s="186">
        <f t="shared" si="60"/>
        <v>0</v>
      </c>
      <c r="AK98" s="187">
        <f t="shared" si="60"/>
        <v>36</v>
      </c>
      <c r="AL98" s="186">
        <f t="shared" si="60"/>
        <v>0</v>
      </c>
      <c r="AM98" s="188">
        <f t="shared" si="60"/>
        <v>0</v>
      </c>
      <c r="AN98" s="189">
        <f t="shared" si="60"/>
        <v>0</v>
      </c>
      <c r="AO98" s="186">
        <f t="shared" si="60"/>
        <v>0</v>
      </c>
      <c r="AP98" s="186">
        <f t="shared" si="60"/>
        <v>0</v>
      </c>
      <c r="AQ98" s="186">
        <f t="shared" si="60"/>
        <v>42</v>
      </c>
      <c r="AR98" s="186">
        <f t="shared" si="60"/>
        <v>0</v>
      </c>
      <c r="AS98" s="186">
        <f t="shared" si="60"/>
        <v>0</v>
      </c>
      <c r="AT98" s="186">
        <f t="shared" si="60"/>
        <v>0</v>
      </c>
      <c r="AU98" s="186">
        <f t="shared" si="60"/>
        <v>226</v>
      </c>
      <c r="AV98" s="186">
        <f t="shared" si="60"/>
        <v>12</v>
      </c>
      <c r="AW98" s="186">
        <f>SUM(AW89:AW97)</f>
        <v>238</v>
      </c>
    </row>
    <row r="99" spans="1:49" x14ac:dyDescent="0.3">
      <c r="A99" s="231" t="s">
        <v>104</v>
      </c>
      <c r="B99" s="204" t="s">
        <v>142</v>
      </c>
      <c r="C99" s="225">
        <v>17</v>
      </c>
      <c r="D99" s="201"/>
      <c r="E99" s="192">
        <f t="shared" ref="E99:E104" si="61">C99+D99</f>
        <v>17</v>
      </c>
      <c r="F99" s="198">
        <v>4</v>
      </c>
      <c r="G99" s="198">
        <v>2</v>
      </c>
      <c r="H99" s="198"/>
      <c r="I99" s="198">
        <v>1</v>
      </c>
      <c r="J99" s="193">
        <f t="shared" ref="J99:J104" si="62">SUM(F99:I99)</f>
        <v>7</v>
      </c>
      <c r="K99" s="192">
        <v>5</v>
      </c>
      <c r="L99" s="192">
        <v>2</v>
      </c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>
        <v>1</v>
      </c>
      <c r="Z99" s="192"/>
      <c r="AA99" s="192"/>
      <c r="AB99" s="192" t="s">
        <v>39</v>
      </c>
      <c r="AC99" s="193">
        <f t="shared" si="32"/>
        <v>8</v>
      </c>
      <c r="AD99" s="198"/>
      <c r="AE99" s="198"/>
      <c r="AF99" s="198"/>
      <c r="AG99" s="193">
        <f t="shared" ref="AG99:AG104" si="63">SUM(F99:I99)+SUM(K99:AB99)+SUM(AD99:AF99)</f>
        <v>15</v>
      </c>
      <c r="AH99" s="192"/>
      <c r="AI99" s="192"/>
      <c r="AJ99" s="192"/>
      <c r="AK99" s="194">
        <v>3</v>
      </c>
      <c r="AL99" s="198"/>
      <c r="AM99" s="207"/>
      <c r="AN99" s="208"/>
      <c r="AO99" s="198"/>
      <c r="AP99" s="198"/>
      <c r="AQ99" s="193">
        <f t="shared" si="33"/>
        <v>3</v>
      </c>
      <c r="AR99" s="197"/>
      <c r="AS99" s="197"/>
      <c r="AT99" s="197"/>
      <c r="AU99" s="198">
        <f t="shared" ref="AU99:AU104" si="64">SUM(F99:I99)+SUM(K99:X99)+SUM(AD99:AF99)+SUM(AH99:AP99)+AR99</f>
        <v>17</v>
      </c>
      <c r="AV99" s="198">
        <f t="shared" ref="AV99:AV104" si="65">SUM(Y99:AB99)+SUM(AS99:AT99)</f>
        <v>1</v>
      </c>
      <c r="AW99" s="193">
        <f t="shared" si="41"/>
        <v>18</v>
      </c>
    </row>
    <row r="100" spans="1:49" x14ac:dyDescent="0.3">
      <c r="A100" s="232"/>
      <c r="B100" s="6" t="s">
        <v>105</v>
      </c>
      <c r="C100" s="224">
        <v>22</v>
      </c>
      <c r="D100" s="177"/>
      <c r="E100" s="178">
        <f t="shared" si="61"/>
        <v>22</v>
      </c>
      <c r="F100" s="179">
        <v>4</v>
      </c>
      <c r="G100" s="179">
        <v>3</v>
      </c>
      <c r="H100" s="179"/>
      <c r="I100" s="179">
        <v>1</v>
      </c>
      <c r="J100" s="180">
        <f t="shared" si="62"/>
        <v>8</v>
      </c>
      <c r="K100" s="178">
        <v>5</v>
      </c>
      <c r="L100" s="178">
        <v>4</v>
      </c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>
        <v>1</v>
      </c>
      <c r="Z100" s="178"/>
      <c r="AA100" s="178"/>
      <c r="AB100" s="178" t="s">
        <v>39</v>
      </c>
      <c r="AC100" s="180">
        <f t="shared" si="32"/>
        <v>10</v>
      </c>
      <c r="AD100" s="179"/>
      <c r="AE100" s="179"/>
      <c r="AF100" s="179"/>
      <c r="AG100" s="180">
        <f t="shared" si="63"/>
        <v>18</v>
      </c>
      <c r="AH100" s="178"/>
      <c r="AI100" s="178"/>
      <c r="AJ100" s="178"/>
      <c r="AK100" s="199">
        <v>5</v>
      </c>
      <c r="AL100" s="179"/>
      <c r="AM100" s="210"/>
      <c r="AN100" s="211"/>
      <c r="AO100" s="179"/>
      <c r="AP100" s="179"/>
      <c r="AQ100" s="180">
        <f t="shared" si="33"/>
        <v>5</v>
      </c>
      <c r="AR100" s="183"/>
      <c r="AS100" s="183"/>
      <c r="AT100" s="183"/>
      <c r="AU100" s="179">
        <f t="shared" si="64"/>
        <v>22</v>
      </c>
      <c r="AV100" s="179">
        <f t="shared" si="65"/>
        <v>1</v>
      </c>
      <c r="AW100" s="180">
        <f t="shared" si="41"/>
        <v>23</v>
      </c>
    </row>
    <row r="101" spans="1:49" x14ac:dyDescent="0.3">
      <c r="A101" s="232"/>
      <c r="B101" s="6" t="s">
        <v>106</v>
      </c>
      <c r="C101" s="224">
        <v>23</v>
      </c>
      <c r="D101" s="177"/>
      <c r="E101" s="178">
        <f t="shared" si="61"/>
        <v>23</v>
      </c>
      <c r="F101" s="179">
        <v>4</v>
      </c>
      <c r="G101" s="179">
        <v>3</v>
      </c>
      <c r="H101" s="179"/>
      <c r="I101" s="179">
        <v>1</v>
      </c>
      <c r="J101" s="180">
        <f t="shared" si="62"/>
        <v>8</v>
      </c>
      <c r="K101" s="178">
        <v>6</v>
      </c>
      <c r="L101" s="178">
        <v>4</v>
      </c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>
        <v>2</v>
      </c>
      <c r="Z101" s="178"/>
      <c r="AA101" s="178"/>
      <c r="AB101" s="178" t="s">
        <v>39</v>
      </c>
      <c r="AC101" s="180">
        <f t="shared" si="32"/>
        <v>12</v>
      </c>
      <c r="AD101" s="179"/>
      <c r="AE101" s="179"/>
      <c r="AF101" s="179"/>
      <c r="AG101" s="180">
        <f t="shared" si="63"/>
        <v>20</v>
      </c>
      <c r="AH101" s="178"/>
      <c r="AI101" s="178"/>
      <c r="AJ101" s="178"/>
      <c r="AK101" s="199">
        <v>5</v>
      </c>
      <c r="AL101" s="179"/>
      <c r="AM101" s="210"/>
      <c r="AN101" s="211"/>
      <c r="AO101" s="179"/>
      <c r="AP101" s="179"/>
      <c r="AQ101" s="180">
        <f t="shared" si="33"/>
        <v>5</v>
      </c>
      <c r="AR101" s="183"/>
      <c r="AS101" s="183"/>
      <c r="AT101" s="183"/>
      <c r="AU101" s="179">
        <f t="shared" si="64"/>
        <v>23</v>
      </c>
      <c r="AV101" s="179">
        <f t="shared" si="65"/>
        <v>2</v>
      </c>
      <c r="AW101" s="180">
        <f t="shared" si="41"/>
        <v>25</v>
      </c>
    </row>
    <row r="102" spans="1:49" x14ac:dyDescent="0.3">
      <c r="A102" s="232"/>
      <c r="B102" s="6" t="s">
        <v>107</v>
      </c>
      <c r="C102" s="224">
        <v>40</v>
      </c>
      <c r="D102" s="177"/>
      <c r="E102" s="178">
        <f t="shared" si="61"/>
        <v>40</v>
      </c>
      <c r="F102" s="178">
        <v>9</v>
      </c>
      <c r="G102" s="178">
        <v>5</v>
      </c>
      <c r="H102" s="178"/>
      <c r="I102" s="179">
        <v>2</v>
      </c>
      <c r="J102" s="180">
        <f t="shared" si="62"/>
        <v>16</v>
      </c>
      <c r="K102" s="178">
        <v>10</v>
      </c>
      <c r="L102" s="178">
        <v>7</v>
      </c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>
        <v>2</v>
      </c>
      <c r="Z102" s="178"/>
      <c r="AA102" s="178"/>
      <c r="AB102" s="178" t="s">
        <v>39</v>
      </c>
      <c r="AC102" s="180">
        <f t="shared" si="32"/>
        <v>19</v>
      </c>
      <c r="AD102" s="179"/>
      <c r="AE102" s="179"/>
      <c r="AF102" s="179"/>
      <c r="AG102" s="180">
        <f t="shared" si="63"/>
        <v>35</v>
      </c>
      <c r="AH102" s="178"/>
      <c r="AI102" s="178"/>
      <c r="AJ102" s="178"/>
      <c r="AK102" s="199">
        <v>7</v>
      </c>
      <c r="AL102" s="179"/>
      <c r="AM102" s="210"/>
      <c r="AN102" s="211"/>
      <c r="AO102" s="179"/>
      <c r="AP102" s="179"/>
      <c r="AQ102" s="180">
        <f t="shared" si="33"/>
        <v>7</v>
      </c>
      <c r="AR102" s="183"/>
      <c r="AS102" s="183"/>
      <c r="AT102" s="183"/>
      <c r="AU102" s="179">
        <f t="shared" si="64"/>
        <v>40</v>
      </c>
      <c r="AV102" s="179">
        <f t="shared" si="65"/>
        <v>2</v>
      </c>
      <c r="AW102" s="180">
        <f t="shared" si="41"/>
        <v>42</v>
      </c>
    </row>
    <row r="103" spans="1:49" x14ac:dyDescent="0.3">
      <c r="A103" s="232"/>
      <c r="B103" s="6" t="s">
        <v>108</v>
      </c>
      <c r="C103" s="224">
        <v>60</v>
      </c>
      <c r="D103" s="177"/>
      <c r="E103" s="178">
        <f t="shared" si="61"/>
        <v>60</v>
      </c>
      <c r="F103" s="178">
        <v>14</v>
      </c>
      <c r="G103" s="178">
        <v>9</v>
      </c>
      <c r="H103" s="179"/>
      <c r="I103" s="179">
        <v>1</v>
      </c>
      <c r="J103" s="180">
        <f t="shared" si="62"/>
        <v>24</v>
      </c>
      <c r="K103" s="178">
        <v>14</v>
      </c>
      <c r="L103" s="178">
        <v>10</v>
      </c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>
        <v>3</v>
      </c>
      <c r="Z103" s="178"/>
      <c r="AA103" s="178"/>
      <c r="AB103" s="178" t="s">
        <v>39</v>
      </c>
      <c r="AC103" s="180">
        <f t="shared" si="32"/>
        <v>27</v>
      </c>
      <c r="AD103" s="179"/>
      <c r="AE103" s="179"/>
      <c r="AF103" s="179"/>
      <c r="AG103" s="180">
        <f t="shared" si="63"/>
        <v>51</v>
      </c>
      <c r="AH103" s="178"/>
      <c r="AI103" s="178"/>
      <c r="AJ103" s="178"/>
      <c r="AK103" s="199">
        <v>12</v>
      </c>
      <c r="AL103" s="179"/>
      <c r="AM103" s="210"/>
      <c r="AN103" s="211"/>
      <c r="AO103" s="179"/>
      <c r="AP103" s="179"/>
      <c r="AQ103" s="180">
        <f t="shared" si="33"/>
        <v>12</v>
      </c>
      <c r="AR103" s="183"/>
      <c r="AS103" s="183"/>
      <c r="AT103" s="183"/>
      <c r="AU103" s="179">
        <f t="shared" si="64"/>
        <v>60</v>
      </c>
      <c r="AV103" s="179">
        <f t="shared" si="65"/>
        <v>3</v>
      </c>
      <c r="AW103" s="180">
        <f t="shared" si="41"/>
        <v>63</v>
      </c>
    </row>
    <row r="104" spans="1:49" x14ac:dyDescent="0.3">
      <c r="A104" s="233"/>
      <c r="B104" s="46" t="s">
        <v>265</v>
      </c>
      <c r="C104" s="224">
        <v>13</v>
      </c>
      <c r="D104" s="177"/>
      <c r="E104" s="178">
        <f t="shared" si="61"/>
        <v>13</v>
      </c>
      <c r="F104" s="179"/>
      <c r="G104" s="179"/>
      <c r="H104" s="179"/>
      <c r="I104" s="179"/>
      <c r="J104" s="180">
        <f t="shared" si="62"/>
        <v>0</v>
      </c>
      <c r="K104" s="178">
        <v>6</v>
      </c>
      <c r="L104" s="178">
        <v>4</v>
      </c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>
        <v>0</v>
      </c>
      <c r="Z104" s="178"/>
      <c r="AA104" s="178"/>
      <c r="AB104" s="178"/>
      <c r="AC104" s="180">
        <f t="shared" si="32"/>
        <v>10</v>
      </c>
      <c r="AD104" s="179"/>
      <c r="AE104" s="179"/>
      <c r="AF104" s="179"/>
      <c r="AG104" s="180">
        <f t="shared" si="63"/>
        <v>10</v>
      </c>
      <c r="AH104" s="178">
        <v>3</v>
      </c>
      <c r="AI104" s="178"/>
      <c r="AJ104" s="178"/>
      <c r="AK104" s="199"/>
      <c r="AL104" s="179"/>
      <c r="AM104" s="210"/>
      <c r="AN104" s="211"/>
      <c r="AO104" s="179"/>
      <c r="AP104" s="179"/>
      <c r="AQ104" s="180">
        <f t="shared" si="33"/>
        <v>3</v>
      </c>
      <c r="AR104" s="183"/>
      <c r="AS104" s="183"/>
      <c r="AT104" s="183"/>
      <c r="AU104" s="179">
        <f t="shared" si="64"/>
        <v>13</v>
      </c>
      <c r="AV104" s="179">
        <f t="shared" si="65"/>
        <v>0</v>
      </c>
      <c r="AW104" s="180">
        <f t="shared" si="41"/>
        <v>13</v>
      </c>
    </row>
    <row r="105" spans="1:49" ht="17.25" thickBot="1" x14ac:dyDescent="0.35">
      <c r="A105" s="229" t="s">
        <v>36</v>
      </c>
      <c r="B105" s="184" t="s">
        <v>137</v>
      </c>
      <c r="C105" s="185">
        <f t="shared" ref="C105:AW105" si="66">SUM(C99:C104)</f>
        <v>175</v>
      </c>
      <c r="D105" s="185">
        <f t="shared" si="66"/>
        <v>0</v>
      </c>
      <c r="E105" s="186">
        <f t="shared" si="66"/>
        <v>175</v>
      </c>
      <c r="F105" s="186">
        <f t="shared" si="66"/>
        <v>35</v>
      </c>
      <c r="G105" s="186">
        <f t="shared" si="66"/>
        <v>22</v>
      </c>
      <c r="H105" s="186"/>
      <c r="I105" s="186">
        <f t="shared" si="66"/>
        <v>6</v>
      </c>
      <c r="J105" s="186">
        <f t="shared" si="66"/>
        <v>63</v>
      </c>
      <c r="K105" s="186">
        <f t="shared" si="66"/>
        <v>46</v>
      </c>
      <c r="L105" s="186">
        <f t="shared" si="66"/>
        <v>31</v>
      </c>
      <c r="M105" s="186">
        <f t="shared" si="66"/>
        <v>0</v>
      </c>
      <c r="N105" s="186">
        <f t="shared" si="66"/>
        <v>0</v>
      </c>
      <c r="O105" s="186">
        <f t="shared" si="66"/>
        <v>0</v>
      </c>
      <c r="P105" s="186">
        <f t="shared" si="66"/>
        <v>0</v>
      </c>
      <c r="Q105" s="186">
        <f t="shared" si="66"/>
        <v>0</v>
      </c>
      <c r="R105" s="186">
        <f t="shared" si="66"/>
        <v>0</v>
      </c>
      <c r="S105" s="186">
        <f t="shared" si="66"/>
        <v>0</v>
      </c>
      <c r="T105" s="186">
        <f t="shared" si="66"/>
        <v>0</v>
      </c>
      <c r="U105" s="186">
        <f t="shared" si="66"/>
        <v>0</v>
      </c>
      <c r="V105" s="186">
        <f t="shared" si="66"/>
        <v>0</v>
      </c>
      <c r="W105" s="186">
        <f t="shared" si="66"/>
        <v>0</v>
      </c>
      <c r="X105" s="186">
        <f t="shared" si="66"/>
        <v>0</v>
      </c>
      <c r="Y105" s="186">
        <f t="shared" si="66"/>
        <v>9</v>
      </c>
      <c r="Z105" s="186">
        <f t="shared" si="66"/>
        <v>0</v>
      </c>
      <c r="AA105" s="186">
        <f t="shared" si="66"/>
        <v>0</v>
      </c>
      <c r="AB105" s="186">
        <f t="shared" si="66"/>
        <v>0</v>
      </c>
      <c r="AC105" s="186">
        <f t="shared" si="66"/>
        <v>86</v>
      </c>
      <c r="AD105" s="186">
        <f t="shared" si="66"/>
        <v>0</v>
      </c>
      <c r="AE105" s="186">
        <f t="shared" si="66"/>
        <v>0</v>
      </c>
      <c r="AF105" s="186">
        <f t="shared" si="66"/>
        <v>0</v>
      </c>
      <c r="AG105" s="186">
        <f t="shared" si="66"/>
        <v>149</v>
      </c>
      <c r="AH105" s="186">
        <f t="shared" si="66"/>
        <v>3</v>
      </c>
      <c r="AI105" s="186">
        <f t="shared" si="66"/>
        <v>0</v>
      </c>
      <c r="AJ105" s="186">
        <f t="shared" si="66"/>
        <v>0</v>
      </c>
      <c r="AK105" s="187">
        <f t="shared" si="66"/>
        <v>32</v>
      </c>
      <c r="AL105" s="186">
        <f t="shared" si="66"/>
        <v>0</v>
      </c>
      <c r="AM105" s="188">
        <f t="shared" si="66"/>
        <v>0</v>
      </c>
      <c r="AN105" s="189">
        <f t="shared" si="66"/>
        <v>0</v>
      </c>
      <c r="AO105" s="186">
        <f t="shared" si="66"/>
        <v>0</v>
      </c>
      <c r="AP105" s="186">
        <f t="shared" si="66"/>
        <v>0</v>
      </c>
      <c r="AQ105" s="186">
        <f t="shared" si="66"/>
        <v>35</v>
      </c>
      <c r="AR105" s="186">
        <f t="shared" si="66"/>
        <v>0</v>
      </c>
      <c r="AS105" s="186">
        <f t="shared" si="66"/>
        <v>0</v>
      </c>
      <c r="AT105" s="186">
        <f t="shared" si="66"/>
        <v>0</v>
      </c>
      <c r="AU105" s="186">
        <f t="shared" si="66"/>
        <v>175</v>
      </c>
      <c r="AV105" s="186">
        <f t="shared" si="66"/>
        <v>9</v>
      </c>
      <c r="AW105" s="186">
        <f t="shared" si="66"/>
        <v>184</v>
      </c>
    </row>
    <row r="106" spans="1:49" x14ac:dyDescent="0.3">
      <c r="A106" s="231" t="s">
        <v>109</v>
      </c>
      <c r="B106" s="203" t="s">
        <v>114</v>
      </c>
      <c r="C106" s="225">
        <v>20</v>
      </c>
      <c r="D106" s="201"/>
      <c r="E106" s="192">
        <f>C106+D106</f>
        <v>20</v>
      </c>
      <c r="F106" s="192">
        <v>5</v>
      </c>
      <c r="G106" s="192">
        <v>4</v>
      </c>
      <c r="H106" s="192"/>
      <c r="I106" s="192"/>
      <c r="J106" s="197">
        <f>SUM(F106:I106)</f>
        <v>9</v>
      </c>
      <c r="K106" s="192">
        <v>4</v>
      </c>
      <c r="L106" s="192">
        <v>3</v>
      </c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>
        <v>1</v>
      </c>
      <c r="X106" s="192"/>
      <c r="Y106" s="192">
        <v>1</v>
      </c>
      <c r="Z106" s="192"/>
      <c r="AA106" s="192"/>
      <c r="AB106" s="192"/>
      <c r="AC106" s="193">
        <f t="shared" si="32"/>
        <v>9</v>
      </c>
      <c r="AD106" s="192"/>
      <c r="AE106" s="192"/>
      <c r="AF106" s="192"/>
      <c r="AG106" s="193">
        <f>SUM(F106:I106)+SUM(K106:AB106)+SUM(AD106:AF106)</f>
        <v>18</v>
      </c>
      <c r="AH106" s="192"/>
      <c r="AI106" s="192"/>
      <c r="AJ106" s="192"/>
      <c r="AK106" s="194">
        <v>3</v>
      </c>
      <c r="AL106" s="192"/>
      <c r="AM106" s="195"/>
      <c r="AN106" s="196"/>
      <c r="AO106" s="192"/>
      <c r="AP106" s="192"/>
      <c r="AQ106" s="193">
        <f t="shared" si="33"/>
        <v>3</v>
      </c>
      <c r="AR106" s="197"/>
      <c r="AS106" s="197"/>
      <c r="AT106" s="197"/>
      <c r="AU106" s="198">
        <f>SUM(F106:I106)+SUM(K106:X106)+SUM(AD106:AF106)+SUM(AH106:AP106)+AR106</f>
        <v>20</v>
      </c>
      <c r="AV106" s="198">
        <f>SUM(Y106:AB106)+SUM(AS106:AT106)</f>
        <v>1</v>
      </c>
      <c r="AW106" s="193">
        <f t="shared" si="41"/>
        <v>21</v>
      </c>
    </row>
    <row r="107" spans="1:49" x14ac:dyDescent="0.3">
      <c r="A107" s="232"/>
      <c r="B107" s="6" t="s">
        <v>110</v>
      </c>
      <c r="C107" s="224">
        <v>84</v>
      </c>
      <c r="D107" s="177"/>
      <c r="E107" s="178">
        <f>C107+D107</f>
        <v>84</v>
      </c>
      <c r="F107" s="178">
        <v>16</v>
      </c>
      <c r="G107" s="178">
        <v>10</v>
      </c>
      <c r="H107" s="178"/>
      <c r="I107" s="178">
        <v>2</v>
      </c>
      <c r="J107" s="183">
        <f>SUM(F107:I107)</f>
        <v>28</v>
      </c>
      <c r="K107" s="178">
        <v>20</v>
      </c>
      <c r="L107" s="178">
        <v>11</v>
      </c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>
        <v>4</v>
      </c>
      <c r="X107" s="178"/>
      <c r="Y107" s="178">
        <v>3</v>
      </c>
      <c r="Z107" s="178"/>
      <c r="AA107" s="178"/>
      <c r="AB107" s="178" t="s">
        <v>39</v>
      </c>
      <c r="AC107" s="180">
        <f t="shared" si="32"/>
        <v>38</v>
      </c>
      <c r="AD107" s="178"/>
      <c r="AE107" s="178"/>
      <c r="AF107" s="178"/>
      <c r="AG107" s="180">
        <f>SUM(F107:I107)+SUM(K107:AB107)+SUM(AD107:AF107)</f>
        <v>66</v>
      </c>
      <c r="AH107" s="178"/>
      <c r="AI107" s="178"/>
      <c r="AJ107" s="178"/>
      <c r="AK107" s="199">
        <v>21</v>
      </c>
      <c r="AL107" s="178"/>
      <c r="AM107" s="181"/>
      <c r="AN107" s="182"/>
      <c r="AO107" s="178"/>
      <c r="AP107" s="178"/>
      <c r="AQ107" s="180">
        <f t="shared" si="33"/>
        <v>21</v>
      </c>
      <c r="AR107" s="183"/>
      <c r="AS107" s="183"/>
      <c r="AT107" s="183"/>
      <c r="AU107" s="179">
        <f>SUM(F107:I107)+SUM(K107:X107)+SUM(AD107:AF107)+SUM(AH107:AP107)+AR107</f>
        <v>84</v>
      </c>
      <c r="AV107" s="179">
        <f>SUM(Y107:AB107)+SUM(AS107:AT107)</f>
        <v>3</v>
      </c>
      <c r="AW107" s="180">
        <f t="shared" si="41"/>
        <v>87</v>
      </c>
    </row>
    <row r="108" spans="1:49" x14ac:dyDescent="0.3">
      <c r="A108" s="232"/>
      <c r="B108" s="6" t="s">
        <v>111</v>
      </c>
      <c r="C108" s="224">
        <v>36</v>
      </c>
      <c r="D108" s="177"/>
      <c r="E108" s="178">
        <f>C108+D108</f>
        <v>36</v>
      </c>
      <c r="F108" s="178">
        <v>7</v>
      </c>
      <c r="G108" s="178">
        <v>4</v>
      </c>
      <c r="H108" s="178"/>
      <c r="I108" s="178">
        <v>1</v>
      </c>
      <c r="J108" s="180">
        <f>SUM(F108:I108)</f>
        <v>12</v>
      </c>
      <c r="K108" s="178">
        <v>10</v>
      </c>
      <c r="L108" s="178">
        <v>6</v>
      </c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>
        <v>2</v>
      </c>
      <c r="Z108" s="178"/>
      <c r="AA108" s="178"/>
      <c r="AB108" s="178" t="s">
        <v>39</v>
      </c>
      <c r="AC108" s="180">
        <f t="shared" si="32"/>
        <v>18</v>
      </c>
      <c r="AD108" s="178"/>
      <c r="AE108" s="178"/>
      <c r="AF108" s="178"/>
      <c r="AG108" s="180">
        <f>SUM(F108:I108)+SUM(K108:AB108)+SUM(AD108:AF108)</f>
        <v>30</v>
      </c>
      <c r="AH108" s="178"/>
      <c r="AI108" s="178"/>
      <c r="AJ108" s="178"/>
      <c r="AK108" s="199">
        <v>8</v>
      </c>
      <c r="AL108" s="178"/>
      <c r="AM108" s="181"/>
      <c r="AN108" s="182"/>
      <c r="AO108" s="178"/>
      <c r="AP108" s="178"/>
      <c r="AQ108" s="180">
        <f t="shared" si="33"/>
        <v>8</v>
      </c>
      <c r="AR108" s="183"/>
      <c r="AS108" s="183"/>
      <c r="AT108" s="183"/>
      <c r="AU108" s="179">
        <f>SUM(F108:I108)+SUM(K108:X108)+SUM(AD108:AF108)+SUM(AH108:AP108)+AR108</f>
        <v>36</v>
      </c>
      <c r="AV108" s="179">
        <f>SUM(Y108:AB108)+SUM(AS108:AT108)</f>
        <v>2</v>
      </c>
      <c r="AW108" s="180">
        <f t="shared" si="41"/>
        <v>38</v>
      </c>
    </row>
    <row r="109" spans="1:49" x14ac:dyDescent="0.3">
      <c r="A109" s="232"/>
      <c r="B109" s="6" t="s">
        <v>112</v>
      </c>
      <c r="C109" s="224">
        <v>138</v>
      </c>
      <c r="D109" s="177"/>
      <c r="E109" s="178">
        <f>C109+D109</f>
        <v>138</v>
      </c>
      <c r="F109" s="178">
        <v>17</v>
      </c>
      <c r="G109" s="178">
        <v>16</v>
      </c>
      <c r="H109" s="178"/>
      <c r="I109" s="178">
        <v>6</v>
      </c>
      <c r="J109" s="180">
        <f>SUM(F109:I109)</f>
        <v>39</v>
      </c>
      <c r="K109" s="178">
        <v>42</v>
      </c>
      <c r="L109" s="178">
        <v>19</v>
      </c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>
        <v>6</v>
      </c>
      <c r="X109" s="178"/>
      <c r="Y109" s="178">
        <v>4</v>
      </c>
      <c r="Z109" s="178"/>
      <c r="AA109" s="178"/>
      <c r="AB109" s="178" t="s">
        <v>39</v>
      </c>
      <c r="AC109" s="180">
        <f t="shared" si="32"/>
        <v>71</v>
      </c>
      <c r="AD109" s="178"/>
      <c r="AE109" s="178"/>
      <c r="AF109" s="178"/>
      <c r="AG109" s="180">
        <f>SUM(F109:I109)+SUM(K109:AB109)+SUM(AD109:AF109)</f>
        <v>110</v>
      </c>
      <c r="AH109" s="178"/>
      <c r="AI109" s="178"/>
      <c r="AJ109" s="178"/>
      <c r="AK109" s="199">
        <v>32</v>
      </c>
      <c r="AL109" s="178"/>
      <c r="AM109" s="181"/>
      <c r="AN109" s="182"/>
      <c r="AO109" s="178"/>
      <c r="AP109" s="178"/>
      <c r="AQ109" s="180">
        <f t="shared" si="33"/>
        <v>32</v>
      </c>
      <c r="AR109" s="183"/>
      <c r="AS109" s="183"/>
      <c r="AT109" s="183"/>
      <c r="AU109" s="179">
        <f>SUM(F109:I109)+SUM(K109:X109)+SUM(AD109:AF109)+SUM(AH109:AP109)+AR109</f>
        <v>138</v>
      </c>
      <c r="AV109" s="179">
        <f>SUM(Y109:AB109)+SUM(AS109:AT109)</f>
        <v>4</v>
      </c>
      <c r="AW109" s="180">
        <f t="shared" si="41"/>
        <v>142</v>
      </c>
    </row>
    <row r="110" spans="1:49" x14ac:dyDescent="0.3">
      <c r="A110" s="233"/>
      <c r="B110" s="6" t="s">
        <v>113</v>
      </c>
      <c r="C110" s="224">
        <v>36</v>
      </c>
      <c r="D110" s="177"/>
      <c r="E110" s="178">
        <f>C110+D110</f>
        <v>36</v>
      </c>
      <c r="F110" s="178">
        <v>5</v>
      </c>
      <c r="G110" s="178">
        <v>3</v>
      </c>
      <c r="H110" s="178"/>
      <c r="I110" s="178">
        <v>2</v>
      </c>
      <c r="J110" s="180">
        <f>SUM(F110:I110)</f>
        <v>10</v>
      </c>
      <c r="K110" s="178">
        <v>10</v>
      </c>
      <c r="L110" s="178">
        <v>8</v>
      </c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>
        <v>2</v>
      </c>
      <c r="Z110" s="178"/>
      <c r="AA110" s="178"/>
      <c r="AB110" s="178" t="s">
        <v>39</v>
      </c>
      <c r="AC110" s="180">
        <f t="shared" si="32"/>
        <v>20</v>
      </c>
      <c r="AD110" s="178"/>
      <c r="AE110" s="178"/>
      <c r="AF110" s="178"/>
      <c r="AG110" s="180">
        <f>SUM(F110:I110)+SUM(K110:AB110)+SUM(AD110:AF110)</f>
        <v>30</v>
      </c>
      <c r="AH110" s="178"/>
      <c r="AI110" s="178"/>
      <c r="AJ110" s="178"/>
      <c r="AK110" s="199">
        <v>8</v>
      </c>
      <c r="AL110" s="178"/>
      <c r="AM110" s="181"/>
      <c r="AN110" s="182"/>
      <c r="AO110" s="178"/>
      <c r="AP110" s="178"/>
      <c r="AQ110" s="180">
        <f t="shared" si="33"/>
        <v>8</v>
      </c>
      <c r="AR110" s="183"/>
      <c r="AS110" s="183"/>
      <c r="AT110" s="183"/>
      <c r="AU110" s="179">
        <f>SUM(F110:I110)+SUM(K110:X110)+SUM(AD110:AF110)+SUM(AH110:AP110)+AR110</f>
        <v>36</v>
      </c>
      <c r="AV110" s="179">
        <f>SUM(Y110:AB110)+SUM(AS110:AT110)</f>
        <v>2</v>
      </c>
      <c r="AW110" s="180">
        <f t="shared" si="41"/>
        <v>38</v>
      </c>
    </row>
    <row r="111" spans="1:49" ht="17.25" thickBot="1" x14ac:dyDescent="0.35">
      <c r="A111" s="229" t="s">
        <v>115</v>
      </c>
      <c r="B111" s="184" t="s">
        <v>138</v>
      </c>
      <c r="C111" s="185">
        <f t="shared" ref="C111:AW111" si="67">SUM(C106:C110)</f>
        <v>314</v>
      </c>
      <c r="D111" s="185">
        <f t="shared" si="67"/>
        <v>0</v>
      </c>
      <c r="E111" s="186">
        <f t="shared" si="67"/>
        <v>314</v>
      </c>
      <c r="F111" s="186">
        <f t="shared" si="67"/>
        <v>50</v>
      </c>
      <c r="G111" s="186">
        <f t="shared" si="67"/>
        <v>37</v>
      </c>
      <c r="H111" s="186">
        <f t="shared" si="67"/>
        <v>0</v>
      </c>
      <c r="I111" s="186">
        <f t="shared" si="67"/>
        <v>11</v>
      </c>
      <c r="J111" s="186">
        <f t="shared" si="67"/>
        <v>98</v>
      </c>
      <c r="K111" s="186">
        <f t="shared" si="67"/>
        <v>86</v>
      </c>
      <c r="L111" s="186">
        <f t="shared" si="67"/>
        <v>47</v>
      </c>
      <c r="M111" s="186">
        <f t="shared" si="67"/>
        <v>0</v>
      </c>
      <c r="N111" s="186">
        <f t="shared" si="67"/>
        <v>0</v>
      </c>
      <c r="O111" s="186">
        <f t="shared" si="67"/>
        <v>0</v>
      </c>
      <c r="P111" s="186">
        <f t="shared" si="67"/>
        <v>0</v>
      </c>
      <c r="Q111" s="186">
        <f t="shared" si="67"/>
        <v>0</v>
      </c>
      <c r="R111" s="186">
        <f t="shared" si="67"/>
        <v>0</v>
      </c>
      <c r="S111" s="186">
        <f t="shared" si="67"/>
        <v>0</v>
      </c>
      <c r="T111" s="186">
        <f t="shared" si="67"/>
        <v>0</v>
      </c>
      <c r="U111" s="186">
        <f t="shared" si="67"/>
        <v>0</v>
      </c>
      <c r="V111" s="186">
        <f t="shared" si="67"/>
        <v>0</v>
      </c>
      <c r="W111" s="186">
        <f t="shared" si="67"/>
        <v>11</v>
      </c>
      <c r="X111" s="186">
        <f t="shared" si="67"/>
        <v>0</v>
      </c>
      <c r="Y111" s="186">
        <f t="shared" si="67"/>
        <v>12</v>
      </c>
      <c r="Z111" s="186">
        <f t="shared" si="67"/>
        <v>0</v>
      </c>
      <c r="AA111" s="186">
        <f t="shared" si="67"/>
        <v>0</v>
      </c>
      <c r="AB111" s="186">
        <f t="shared" si="67"/>
        <v>0</v>
      </c>
      <c r="AC111" s="186">
        <f t="shared" si="67"/>
        <v>156</v>
      </c>
      <c r="AD111" s="186">
        <f t="shared" si="67"/>
        <v>0</v>
      </c>
      <c r="AE111" s="186">
        <f t="shared" si="67"/>
        <v>0</v>
      </c>
      <c r="AF111" s="186">
        <f t="shared" si="67"/>
        <v>0</v>
      </c>
      <c r="AG111" s="186">
        <f t="shared" si="67"/>
        <v>254</v>
      </c>
      <c r="AH111" s="186">
        <f t="shared" si="67"/>
        <v>0</v>
      </c>
      <c r="AI111" s="186">
        <f t="shared" si="67"/>
        <v>0</v>
      </c>
      <c r="AJ111" s="186">
        <f t="shared" si="67"/>
        <v>0</v>
      </c>
      <c r="AK111" s="187">
        <f t="shared" si="67"/>
        <v>72</v>
      </c>
      <c r="AL111" s="186">
        <f t="shared" si="67"/>
        <v>0</v>
      </c>
      <c r="AM111" s="188">
        <f t="shared" si="67"/>
        <v>0</v>
      </c>
      <c r="AN111" s="189">
        <f t="shared" si="67"/>
        <v>0</v>
      </c>
      <c r="AO111" s="186">
        <f t="shared" si="67"/>
        <v>0</v>
      </c>
      <c r="AP111" s="186">
        <f t="shared" si="67"/>
        <v>0</v>
      </c>
      <c r="AQ111" s="186">
        <f t="shared" si="67"/>
        <v>72</v>
      </c>
      <c r="AR111" s="186">
        <f t="shared" si="67"/>
        <v>0</v>
      </c>
      <c r="AS111" s="186">
        <f t="shared" si="67"/>
        <v>0</v>
      </c>
      <c r="AT111" s="186">
        <f t="shared" si="67"/>
        <v>0</v>
      </c>
      <c r="AU111" s="186">
        <f t="shared" si="67"/>
        <v>314</v>
      </c>
      <c r="AV111" s="186">
        <f t="shared" si="67"/>
        <v>12</v>
      </c>
      <c r="AW111" s="186">
        <f t="shared" si="67"/>
        <v>326</v>
      </c>
    </row>
    <row r="112" spans="1:49" x14ac:dyDescent="0.3">
      <c r="A112" s="234" t="s">
        <v>277</v>
      </c>
      <c r="B112" s="203" t="s">
        <v>117</v>
      </c>
      <c r="C112" s="225">
        <v>49</v>
      </c>
      <c r="D112" s="201"/>
      <c r="E112" s="192">
        <f>C112+D112</f>
        <v>49</v>
      </c>
      <c r="F112" s="192">
        <v>8</v>
      </c>
      <c r="G112" s="192">
        <v>5</v>
      </c>
      <c r="H112" s="192"/>
      <c r="I112" s="192">
        <v>4</v>
      </c>
      <c r="J112" s="193">
        <f>SUM(F112:I112)</f>
        <v>17</v>
      </c>
      <c r="K112" s="192">
        <v>11</v>
      </c>
      <c r="L112" s="192">
        <v>11</v>
      </c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>
        <v>2</v>
      </c>
      <c r="X112" s="192"/>
      <c r="Y112" s="192"/>
      <c r="Z112" s="192"/>
      <c r="AA112" s="192"/>
      <c r="AB112" s="192"/>
      <c r="AC112" s="193">
        <f t="shared" si="32"/>
        <v>24</v>
      </c>
      <c r="AD112" s="198"/>
      <c r="AE112" s="198"/>
      <c r="AF112" s="198"/>
      <c r="AG112" s="193">
        <f>SUM(F112:I112)+SUM(K112:AB112)+SUM(AD112:AF112)</f>
        <v>41</v>
      </c>
      <c r="AH112" s="198"/>
      <c r="AI112" s="198"/>
      <c r="AJ112" s="198"/>
      <c r="AK112" s="194">
        <v>8</v>
      </c>
      <c r="AL112" s="192"/>
      <c r="AM112" s="195"/>
      <c r="AN112" s="196"/>
      <c r="AO112" s="192"/>
      <c r="AP112" s="192"/>
      <c r="AQ112" s="193">
        <f t="shared" si="33"/>
        <v>8</v>
      </c>
      <c r="AR112" s="197"/>
      <c r="AS112" s="197"/>
      <c r="AT112" s="197"/>
      <c r="AU112" s="198">
        <f>SUM(F112:I112)+SUM(K112:X112)+SUM(AD112:AF112)+SUM(AH112:AP112)+AR112</f>
        <v>49</v>
      </c>
      <c r="AV112" s="198">
        <f>SUM(Y112:AB112)+SUM(AS112:AT112)</f>
        <v>0</v>
      </c>
      <c r="AW112" s="193">
        <f t="shared" si="41"/>
        <v>49</v>
      </c>
    </row>
    <row r="113" spans="1:49" x14ac:dyDescent="0.3">
      <c r="A113" s="235"/>
      <c r="B113" s="6" t="s">
        <v>118</v>
      </c>
      <c r="C113" s="224">
        <v>48</v>
      </c>
      <c r="D113" s="177"/>
      <c r="E113" s="178">
        <f>C113+D113</f>
        <v>48</v>
      </c>
      <c r="F113" s="178">
        <v>8</v>
      </c>
      <c r="G113" s="178">
        <v>5</v>
      </c>
      <c r="H113" s="178"/>
      <c r="I113" s="178">
        <v>4</v>
      </c>
      <c r="J113" s="180">
        <f>SUM(F113:I113)</f>
        <v>17</v>
      </c>
      <c r="K113" s="178">
        <v>11</v>
      </c>
      <c r="L113" s="178">
        <v>10</v>
      </c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>
        <v>2</v>
      </c>
      <c r="X113" s="178"/>
      <c r="Y113" s="178"/>
      <c r="Z113" s="178"/>
      <c r="AA113" s="178"/>
      <c r="AB113" s="178"/>
      <c r="AC113" s="180">
        <f t="shared" si="32"/>
        <v>23</v>
      </c>
      <c r="AD113" s="179"/>
      <c r="AE113" s="179"/>
      <c r="AF113" s="179"/>
      <c r="AG113" s="180">
        <f>SUM(F113:I113)+SUM(K113:AB113)+SUM(AD113:AF113)</f>
        <v>40</v>
      </c>
      <c r="AH113" s="179"/>
      <c r="AI113" s="179"/>
      <c r="AJ113" s="179"/>
      <c r="AK113" s="199">
        <v>8</v>
      </c>
      <c r="AL113" s="178"/>
      <c r="AM113" s="181"/>
      <c r="AN113" s="182"/>
      <c r="AO113" s="178"/>
      <c r="AP113" s="178"/>
      <c r="AQ113" s="180">
        <f t="shared" si="33"/>
        <v>8</v>
      </c>
      <c r="AR113" s="183"/>
      <c r="AS113" s="183"/>
      <c r="AT113" s="183"/>
      <c r="AU113" s="179">
        <f>SUM(F113:I113)+SUM(K113:X113)+SUM(AD113:AF113)+SUM(AH113:AP113)+AR113</f>
        <v>48</v>
      </c>
      <c r="AV113" s="179">
        <f>SUM(Y113:AB113)+SUM(AS113:AT113)</f>
        <v>0</v>
      </c>
      <c r="AW113" s="180">
        <f t="shared" si="41"/>
        <v>48</v>
      </c>
    </row>
    <row r="114" spans="1:49" ht="17.25" thickBot="1" x14ac:dyDescent="0.35">
      <c r="A114" s="229" t="s">
        <v>36</v>
      </c>
      <c r="B114" s="184" t="s">
        <v>266</v>
      </c>
      <c r="C114" s="185">
        <f t="shared" ref="C114:AW114" si="68">SUM(C112:C113)</f>
        <v>97</v>
      </c>
      <c r="D114" s="185">
        <f t="shared" si="68"/>
        <v>0</v>
      </c>
      <c r="E114" s="186">
        <f t="shared" si="68"/>
        <v>97</v>
      </c>
      <c r="F114" s="186">
        <f t="shared" si="68"/>
        <v>16</v>
      </c>
      <c r="G114" s="186">
        <f t="shared" si="68"/>
        <v>10</v>
      </c>
      <c r="H114" s="186">
        <f t="shared" si="68"/>
        <v>0</v>
      </c>
      <c r="I114" s="186">
        <f t="shared" si="68"/>
        <v>8</v>
      </c>
      <c r="J114" s="186">
        <f t="shared" si="68"/>
        <v>34</v>
      </c>
      <c r="K114" s="186">
        <f t="shared" si="68"/>
        <v>22</v>
      </c>
      <c r="L114" s="186">
        <f t="shared" si="68"/>
        <v>21</v>
      </c>
      <c r="M114" s="186">
        <f t="shared" si="68"/>
        <v>0</v>
      </c>
      <c r="N114" s="186">
        <f t="shared" si="68"/>
        <v>0</v>
      </c>
      <c r="O114" s="186">
        <f t="shared" si="68"/>
        <v>0</v>
      </c>
      <c r="P114" s="186">
        <f t="shared" si="68"/>
        <v>0</v>
      </c>
      <c r="Q114" s="186">
        <f t="shared" si="68"/>
        <v>0</v>
      </c>
      <c r="R114" s="186">
        <f t="shared" si="68"/>
        <v>0</v>
      </c>
      <c r="S114" s="186">
        <f t="shared" si="68"/>
        <v>0</v>
      </c>
      <c r="T114" s="186">
        <f t="shared" si="68"/>
        <v>0</v>
      </c>
      <c r="U114" s="186">
        <f t="shared" si="68"/>
        <v>0</v>
      </c>
      <c r="V114" s="186">
        <f t="shared" si="68"/>
        <v>0</v>
      </c>
      <c r="W114" s="186">
        <f t="shared" si="68"/>
        <v>4</v>
      </c>
      <c r="X114" s="186">
        <f t="shared" si="68"/>
        <v>0</v>
      </c>
      <c r="Y114" s="186">
        <f t="shared" si="68"/>
        <v>0</v>
      </c>
      <c r="Z114" s="186">
        <f t="shared" si="68"/>
        <v>0</v>
      </c>
      <c r="AA114" s="186">
        <f t="shared" si="68"/>
        <v>0</v>
      </c>
      <c r="AB114" s="186">
        <f t="shared" si="68"/>
        <v>0</v>
      </c>
      <c r="AC114" s="186">
        <f t="shared" si="68"/>
        <v>47</v>
      </c>
      <c r="AD114" s="186">
        <f t="shared" si="68"/>
        <v>0</v>
      </c>
      <c r="AE114" s="186">
        <f t="shared" si="68"/>
        <v>0</v>
      </c>
      <c r="AF114" s="186">
        <f t="shared" si="68"/>
        <v>0</v>
      </c>
      <c r="AG114" s="186">
        <f t="shared" si="68"/>
        <v>81</v>
      </c>
      <c r="AH114" s="186">
        <f t="shared" si="68"/>
        <v>0</v>
      </c>
      <c r="AI114" s="186">
        <f t="shared" si="68"/>
        <v>0</v>
      </c>
      <c r="AJ114" s="186">
        <f t="shared" si="68"/>
        <v>0</v>
      </c>
      <c r="AK114" s="187">
        <f t="shared" si="68"/>
        <v>16</v>
      </c>
      <c r="AL114" s="186">
        <f t="shared" si="68"/>
        <v>0</v>
      </c>
      <c r="AM114" s="188">
        <f t="shared" si="68"/>
        <v>0</v>
      </c>
      <c r="AN114" s="189">
        <f t="shared" si="68"/>
        <v>0</v>
      </c>
      <c r="AO114" s="186">
        <f t="shared" si="68"/>
        <v>0</v>
      </c>
      <c r="AP114" s="186">
        <f t="shared" si="68"/>
        <v>0</v>
      </c>
      <c r="AQ114" s="186">
        <f t="shared" si="68"/>
        <v>16</v>
      </c>
      <c r="AR114" s="186">
        <f t="shared" si="68"/>
        <v>0</v>
      </c>
      <c r="AS114" s="186">
        <f t="shared" si="68"/>
        <v>0</v>
      </c>
      <c r="AT114" s="186">
        <f t="shared" si="68"/>
        <v>0</v>
      </c>
      <c r="AU114" s="186">
        <f t="shared" si="68"/>
        <v>97</v>
      </c>
      <c r="AV114" s="186">
        <f t="shared" si="68"/>
        <v>0</v>
      </c>
      <c r="AW114" s="186">
        <f t="shared" si="68"/>
        <v>97</v>
      </c>
    </row>
    <row r="115" spans="1:49" s="218" customFormat="1" x14ac:dyDescent="0.3">
      <c r="A115" s="244" t="s">
        <v>119</v>
      </c>
      <c r="B115" s="244"/>
      <c r="C115" s="246">
        <f>C114+C111+C105+C98+C88+C79+C81+C77+C75+C67+C58+C45+C28+C23+C13+C7</f>
        <v>3146</v>
      </c>
      <c r="D115" s="253">
        <f>D114+D111+D105+D98+D88+D79+D81+D77+D75+D67+D58+D45+D28+D23+D13+D7</f>
        <v>0</v>
      </c>
      <c r="E115" s="248">
        <f t="shared" ref="E115:AA115" si="69">E114+E111+E105+E98+E88+E79+E81+E77+E75+E67+E58+E45+E28+E23+E13+E7</f>
        <v>3146</v>
      </c>
      <c r="F115" s="212">
        <f t="shared" si="69"/>
        <v>462</v>
      </c>
      <c r="G115" s="212">
        <f t="shared" si="69"/>
        <v>372</v>
      </c>
      <c r="H115" s="212">
        <f t="shared" si="69"/>
        <v>5</v>
      </c>
      <c r="I115" s="212">
        <f t="shared" si="69"/>
        <v>115</v>
      </c>
      <c r="J115" s="213">
        <f t="shared" si="69"/>
        <v>954</v>
      </c>
      <c r="K115" s="212">
        <f t="shared" si="69"/>
        <v>742</v>
      </c>
      <c r="L115" s="212">
        <f t="shared" si="69"/>
        <v>487</v>
      </c>
      <c r="M115" s="212">
        <f t="shared" si="69"/>
        <v>6</v>
      </c>
      <c r="N115" s="212">
        <f t="shared" si="69"/>
        <v>28</v>
      </c>
      <c r="O115" s="212">
        <f t="shared" si="69"/>
        <v>24</v>
      </c>
      <c r="P115" s="212">
        <f t="shared" si="69"/>
        <v>10</v>
      </c>
      <c r="Q115" s="212">
        <f t="shared" si="69"/>
        <v>9</v>
      </c>
      <c r="R115" s="212">
        <f t="shared" si="69"/>
        <v>2</v>
      </c>
      <c r="S115" s="212">
        <f t="shared" si="69"/>
        <v>5</v>
      </c>
      <c r="T115" s="212">
        <f t="shared" si="69"/>
        <v>4</v>
      </c>
      <c r="U115" s="212">
        <f t="shared" si="69"/>
        <v>4</v>
      </c>
      <c r="V115" s="212">
        <f t="shared" si="69"/>
        <v>15</v>
      </c>
      <c r="W115" s="212">
        <f t="shared" si="69"/>
        <v>66</v>
      </c>
      <c r="X115" s="212">
        <f t="shared" si="69"/>
        <v>17</v>
      </c>
      <c r="Y115" s="212">
        <f t="shared" si="69"/>
        <v>125</v>
      </c>
      <c r="Z115" s="212">
        <f t="shared" si="69"/>
        <v>4</v>
      </c>
      <c r="AA115" s="212">
        <f t="shared" si="69"/>
        <v>43</v>
      </c>
      <c r="AB115" s="212">
        <v>30</v>
      </c>
      <c r="AC115" s="213">
        <f>AC114+AC111+AC105+AC98+AC88+AC79+AC81+AC77+AC75+AC67+AC58+AC45+AC28+AC23+AC13+AC7+20</f>
        <v>1621</v>
      </c>
      <c r="AD115" s="212">
        <f>AD114+AD111+AD105+AD98+AD88+AD79+AD81+AD77+AD75+AD67+AD58+AD45+AD28+AD23+AD13+AD7</f>
        <v>103</v>
      </c>
      <c r="AE115" s="212">
        <f>AE114+AE111+AE105+AE98+AE88+AE79+AE81+AE77+AE75+AE67+AE58+AE45+AE28+AE23+AE13+AE7</f>
        <v>9</v>
      </c>
      <c r="AF115" s="212">
        <f>AF114+AF111+AF105+AF98+AF88+AF79+AF81+AF77+AF75+AF67+AF58+AF45+AF28+AF23+AF13+AF7</f>
        <v>3</v>
      </c>
      <c r="AG115" s="213">
        <f>AG114+AG111+AG105+AG98+AG88+AG79+AG81+AG77+AG75+AG67+AG58+AG45+AG28+AG23+AG13+AG7+20</f>
        <v>2690</v>
      </c>
      <c r="AH115" s="212">
        <f t="shared" ref="AH115:AM115" si="70">AH114+AH111+AH105+AH98+AH88+AH79+AH81+AH77+AH75+AH67+AH58+AH45+AH28+AH23+AH13+AH7</f>
        <v>304</v>
      </c>
      <c r="AI115" s="212">
        <f t="shared" si="70"/>
        <v>11</v>
      </c>
      <c r="AJ115" s="214">
        <f t="shared" si="70"/>
        <v>6</v>
      </c>
      <c r="AK115" s="215">
        <f t="shared" si="70"/>
        <v>328</v>
      </c>
      <c r="AL115" s="212">
        <f t="shared" si="70"/>
        <v>3</v>
      </c>
      <c r="AM115" s="216">
        <f t="shared" si="70"/>
        <v>0</v>
      </c>
      <c r="AN115" s="217"/>
      <c r="AO115" s="212"/>
      <c r="AP115" s="212"/>
      <c r="AQ115" s="213">
        <f>AQ114+AQ111+AQ105+AQ98+AQ88+AQ79+AQ81+AQ77+AQ75+AQ67+AQ58+AQ45+AQ28+AQ23+AQ13+AQ7</f>
        <v>652</v>
      </c>
      <c r="AR115" s="212">
        <f>AR114+AR111+AR105+AR98+AR88+AR79+AR81+AR77+AR75+AR67+AR58+AR45+AR28+AR23+AR13+AR7</f>
        <v>6</v>
      </c>
      <c r="AS115" s="212">
        <f>AS114+AS111+AS105+AS98+AS88+AS79+AS81+AS77+AS75+AS67+AS58+AS45+AS28+AS23+AS13+AS7</f>
        <v>9</v>
      </c>
      <c r="AT115" s="212">
        <f>AT114+AT111+AT105+AT98+AT88+AT79+AT81+AT77+AT75+AT67+AT58+AT45+AT28+AT23+AT13+AT7</f>
        <v>6</v>
      </c>
      <c r="AU115" s="212">
        <f>AU114+AU111+AU105+AU98+AU88+AU79+AU81+AU77+AU75+AU67+AU58+AU45+AU28+AU23+AU13+AU7</f>
        <v>3146</v>
      </c>
      <c r="AV115" s="212">
        <f>AV114+AV111+AV105+AV98+AV88+AV79+AV81+AV77+AV75+AV67+AV58+AV45+AV28+AV23+AV13+AV7+20</f>
        <v>217</v>
      </c>
      <c r="AW115" s="213">
        <f>AW114+AW111+AW105+AW98+AW88+AW79+AW81+AW77+AW75+AW67+AW58+AW45+AW28+AW23+AW13+AW7+20</f>
        <v>3363</v>
      </c>
    </row>
    <row r="116" spans="1:49" s="220" customFormat="1" ht="17.25" thickBot="1" x14ac:dyDescent="0.35">
      <c r="A116" s="245"/>
      <c r="B116" s="245"/>
      <c r="C116" s="247"/>
      <c r="D116" s="254"/>
      <c r="E116" s="249"/>
      <c r="F116" s="219">
        <f t="shared" ref="F116:AW116" si="71">F115/$AW$115*100</f>
        <v>13.737734165923282</v>
      </c>
      <c r="G116" s="219">
        <f t="shared" si="71"/>
        <v>11.061552185548617</v>
      </c>
      <c r="H116" s="219">
        <f t="shared" si="71"/>
        <v>0.14867677668748142</v>
      </c>
      <c r="I116" s="219">
        <f t="shared" si="71"/>
        <v>3.4195658638120725</v>
      </c>
      <c r="J116" s="219">
        <f t="shared" si="71"/>
        <v>28.367528991971451</v>
      </c>
      <c r="K116" s="219">
        <f t="shared" si="71"/>
        <v>22.063633660422241</v>
      </c>
      <c r="L116" s="219">
        <f t="shared" si="71"/>
        <v>14.481118049360688</v>
      </c>
      <c r="M116" s="219">
        <f t="shared" si="71"/>
        <v>0.17841213202497772</v>
      </c>
      <c r="N116" s="219">
        <f t="shared" si="71"/>
        <v>0.83258994944989584</v>
      </c>
      <c r="O116" s="219">
        <f t="shared" si="71"/>
        <v>0.71364852809991086</v>
      </c>
      <c r="P116" s="219">
        <f t="shared" si="71"/>
        <v>0.29735355337496283</v>
      </c>
      <c r="Q116" s="219">
        <f t="shared" si="71"/>
        <v>0.2676181980374665</v>
      </c>
      <c r="R116" s="219">
        <f t="shared" si="71"/>
        <v>5.9470710674992558E-2</v>
      </c>
      <c r="S116" s="219">
        <f t="shared" si="71"/>
        <v>0.14867677668748142</v>
      </c>
      <c r="T116" s="219">
        <f t="shared" si="71"/>
        <v>0.11894142134998512</v>
      </c>
      <c r="U116" s="219">
        <f t="shared" si="71"/>
        <v>0.11894142134998512</v>
      </c>
      <c r="V116" s="219">
        <f t="shared" si="71"/>
        <v>0.44603033006244425</v>
      </c>
      <c r="W116" s="219">
        <f t="shared" si="71"/>
        <v>1.9625334522747548</v>
      </c>
      <c r="X116" s="219">
        <f t="shared" si="71"/>
        <v>0.50550104073743685</v>
      </c>
      <c r="Y116" s="219">
        <f t="shared" si="71"/>
        <v>3.7169194171870354</v>
      </c>
      <c r="Z116" s="219">
        <f t="shared" si="71"/>
        <v>0.11894142134998512</v>
      </c>
      <c r="AA116" s="219">
        <f t="shared" si="71"/>
        <v>1.27862027951234</v>
      </c>
      <c r="AB116" s="219">
        <f t="shared" si="71"/>
        <v>0.89206066012488849</v>
      </c>
      <c r="AC116" s="219">
        <f t="shared" si="71"/>
        <v>48.201011002081472</v>
      </c>
      <c r="AD116" s="219">
        <f t="shared" si="71"/>
        <v>3.0627415997621172</v>
      </c>
      <c r="AE116" s="219">
        <f t="shared" si="71"/>
        <v>0.2676181980374665</v>
      </c>
      <c r="AF116" s="219">
        <f t="shared" si="71"/>
        <v>8.9206066012488858E-2</v>
      </c>
      <c r="AG116" s="219">
        <f t="shared" si="71"/>
        <v>79.988105857864994</v>
      </c>
      <c r="AH116" s="219">
        <f t="shared" si="71"/>
        <v>9.0395480225988702</v>
      </c>
      <c r="AI116" s="219">
        <f t="shared" si="71"/>
        <v>0.3270889087124591</v>
      </c>
      <c r="AJ116" s="219">
        <f t="shared" si="71"/>
        <v>0.17841213202497772</v>
      </c>
      <c r="AK116" s="219">
        <f t="shared" si="71"/>
        <v>9.7531965506987817</v>
      </c>
      <c r="AL116" s="219">
        <f t="shared" si="71"/>
        <v>8.9206066012488858E-2</v>
      </c>
      <c r="AM116" s="219">
        <f t="shared" si="71"/>
        <v>0</v>
      </c>
      <c r="AN116" s="219">
        <f t="shared" si="71"/>
        <v>0</v>
      </c>
      <c r="AO116" s="219">
        <f t="shared" si="71"/>
        <v>0</v>
      </c>
      <c r="AP116" s="219">
        <f t="shared" si="71"/>
        <v>0</v>
      </c>
      <c r="AQ116" s="219">
        <f t="shared" si="71"/>
        <v>19.387451680047576</v>
      </c>
      <c r="AR116" s="219">
        <f t="shared" si="71"/>
        <v>0.17841213202497772</v>
      </c>
      <c r="AS116" s="219">
        <f t="shared" si="71"/>
        <v>0.2676181980374665</v>
      </c>
      <c r="AT116" s="219">
        <f t="shared" si="71"/>
        <v>0.17841213202497772</v>
      </c>
      <c r="AU116" s="219">
        <f t="shared" si="71"/>
        <v>93.547427891763306</v>
      </c>
      <c r="AV116" s="219">
        <f t="shared" si="71"/>
        <v>6.4525721082366942</v>
      </c>
      <c r="AW116" s="219">
        <f t="shared" si="71"/>
        <v>100</v>
      </c>
    </row>
    <row r="117" spans="1:49" x14ac:dyDescent="0.3">
      <c r="Y117" s="222"/>
      <c r="Z117" s="222"/>
      <c r="AA117" s="222"/>
      <c r="AP117" s="223"/>
      <c r="AQ117" s="223"/>
      <c r="AR117" s="223"/>
      <c r="AS117" s="223"/>
      <c r="AT117" s="223"/>
    </row>
    <row r="118" spans="1:49" x14ac:dyDescent="0.3">
      <c r="AP118" s="223"/>
      <c r="AQ118" s="223"/>
      <c r="AR118" s="223"/>
      <c r="AS118" s="223"/>
      <c r="AT118" s="223"/>
    </row>
    <row r="119" spans="1:49" x14ac:dyDescent="0.3">
      <c r="AP119" s="223"/>
      <c r="AQ119" s="223"/>
      <c r="AR119" s="223"/>
      <c r="AS119" s="223"/>
      <c r="AT119" s="223"/>
    </row>
  </sheetData>
  <sheetProtection algorithmName="SHA-512" hashValue="AN7YNhL350EFMjcExC/oJL0JWvf/X/5b1l7qbGKGfwCFIpy8h1ZgOX3BykBKC7VL3y3+XuvF4F4R3qt588Twvw==" saltValue="nxcF6pxfkhgdMNgcU77Uhg==" spinCount="100000" sheet="1" objects="1" scenarios="1"/>
  <autoFilter ref="A5:AW116"/>
  <mergeCells count="46">
    <mergeCell ref="A1:AW1"/>
    <mergeCell ref="A2:A5"/>
    <mergeCell ref="B2:B5"/>
    <mergeCell ref="C2:C5"/>
    <mergeCell ref="E2:E5"/>
    <mergeCell ref="F2:AG2"/>
    <mergeCell ref="AH2:AQ2"/>
    <mergeCell ref="AR2:AT2"/>
    <mergeCell ref="AU2:AV4"/>
    <mergeCell ref="AW2:AW5"/>
    <mergeCell ref="F3:J3"/>
    <mergeCell ref="K3:AC3"/>
    <mergeCell ref="AD3:AF3"/>
    <mergeCell ref="AG3:AG5"/>
    <mergeCell ref="AR3:AT3"/>
    <mergeCell ref="AN3:AP3"/>
    <mergeCell ref="A115:B116"/>
    <mergeCell ref="C115:C116"/>
    <mergeCell ref="E115:E116"/>
    <mergeCell ref="D2:D5"/>
    <mergeCell ref="AK3:AM3"/>
    <mergeCell ref="F4:I4"/>
    <mergeCell ref="J4:J5"/>
    <mergeCell ref="K4:X4"/>
    <mergeCell ref="Y4:AB4"/>
    <mergeCell ref="AC4:AC5"/>
    <mergeCell ref="AD4:AF4"/>
    <mergeCell ref="AH4:AJ4"/>
    <mergeCell ref="D115:D116"/>
    <mergeCell ref="A8:A12"/>
    <mergeCell ref="A14:A22"/>
    <mergeCell ref="A24:A27"/>
    <mergeCell ref="AQ3:AQ5"/>
    <mergeCell ref="AK4:AM4"/>
    <mergeCell ref="AN4:AP4"/>
    <mergeCell ref="AH3:AJ3"/>
    <mergeCell ref="AS4:AT4"/>
    <mergeCell ref="A89:A97"/>
    <mergeCell ref="A99:A104"/>
    <mergeCell ref="A106:A110"/>
    <mergeCell ref="A112:A113"/>
    <mergeCell ref="A29:A44"/>
    <mergeCell ref="A46:A57"/>
    <mergeCell ref="A59:A66"/>
    <mergeCell ref="A68:A74"/>
    <mergeCell ref="A82:A87"/>
  </mergeCells>
  <phoneticPr fontId="3" type="noConversion"/>
  <printOptions horizontalCentered="1"/>
  <pageMargins left="0.23622047244094491" right="0.23622047244094491" top="0.55118110236220474" bottom="0.55118110236220474" header="0.31496062992125984" footer="0.31496062992125984"/>
  <pageSetup paperSize="8" scale="59" fitToHeight="0" orientation="landscape" r:id="rId1"/>
  <rowBreaks count="1" manualBreakCount="1">
    <brk id="67" max="4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8" tint="0.79998168889431442"/>
    <pageSetUpPr fitToPage="1"/>
  </sheetPr>
  <dimension ref="A1:AR90"/>
  <sheetViews>
    <sheetView zoomScaleNormal="100" zoomScaleSheetLayoutView="70" workbookViewId="0">
      <pane xSplit="2" ySplit="5" topLeftCell="O51" activePane="bottomRight" state="frozen"/>
      <selection pane="topRight" activeCell="C1" sqref="C1"/>
      <selection pane="bottomLeft" activeCell="A6" sqref="A6"/>
      <selection pane="bottomRight" activeCell="W65" sqref="W65"/>
    </sheetView>
  </sheetViews>
  <sheetFormatPr defaultRowHeight="16.5" x14ac:dyDescent="0.3"/>
  <cols>
    <col min="1" max="1" width="16.625" hidden="1" customWidth="1"/>
    <col min="2" max="2" width="18" style="3" customWidth="1"/>
    <col min="3" max="3" width="8.375" style="3" customWidth="1"/>
    <col min="4" max="4" width="7.875" style="5" customWidth="1"/>
    <col min="5" max="6" width="9.5" style="3" hidden="1" customWidth="1"/>
    <col min="7" max="7" width="12.5" style="3" hidden="1" customWidth="1"/>
    <col min="8" max="8" width="12.5" style="9" hidden="1" customWidth="1"/>
    <col min="9" max="9" width="8.625" style="9" hidden="1" customWidth="1"/>
    <col min="10" max="11" width="7.5" customWidth="1"/>
    <col min="12" max="12" width="7.625" customWidth="1"/>
    <col min="13" max="13" width="6.375" customWidth="1"/>
    <col min="14" max="16" width="6.125" customWidth="1"/>
    <col min="17" max="17" width="6.25" customWidth="1"/>
    <col min="18" max="18" width="8.25" customWidth="1"/>
    <col min="19" max="19" width="8.75" customWidth="1"/>
    <col min="20" max="20" width="7" customWidth="1"/>
    <col min="21" max="21" width="6.75" customWidth="1"/>
    <col min="22" max="22" width="9" customWidth="1"/>
    <col min="23" max="24" width="6.125" customWidth="1"/>
    <col min="25" max="25" width="6.25" customWidth="1"/>
    <col min="26" max="26" width="8.5" customWidth="1"/>
    <col min="27" max="27" width="7.125" customWidth="1"/>
    <col min="28" max="28" width="6.625" customWidth="1"/>
    <col min="29" max="29" width="7.5" customWidth="1"/>
    <col min="30" max="30" width="9.25" bestFit="1" customWidth="1"/>
    <col min="31" max="31" width="6" customWidth="1"/>
    <col min="32" max="32" width="6.375" customWidth="1"/>
    <col min="33" max="33" width="8.25" bestFit="1" customWidth="1"/>
    <col min="34" max="35" width="6.25" customWidth="1"/>
    <col min="36" max="36" width="5.375" customWidth="1"/>
    <col min="37" max="40" width="6.25" customWidth="1"/>
    <col min="41" max="41" width="6.5" customWidth="1"/>
    <col min="42" max="42" width="8.75" bestFit="1" customWidth="1"/>
    <col min="43" max="43" width="5.875" customWidth="1"/>
  </cols>
  <sheetData>
    <row r="1" spans="1:44" ht="27" thickBot="1" x14ac:dyDescent="0.35">
      <c r="A1" s="272" t="s">
        <v>175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4"/>
    </row>
    <row r="2" spans="1:44" ht="16.5" customHeight="1" x14ac:dyDescent="0.3">
      <c r="A2" s="275" t="s">
        <v>0</v>
      </c>
      <c r="B2" s="277" t="s">
        <v>1</v>
      </c>
      <c r="C2" s="278" t="s">
        <v>176</v>
      </c>
      <c r="D2" s="279" t="s">
        <v>177</v>
      </c>
      <c r="E2" s="278" t="s">
        <v>178</v>
      </c>
      <c r="F2" s="278" t="s">
        <v>143</v>
      </c>
      <c r="G2" s="278" t="s">
        <v>144</v>
      </c>
      <c r="H2" s="282" t="s">
        <v>147</v>
      </c>
      <c r="I2" s="284" t="s">
        <v>151</v>
      </c>
      <c r="J2" s="268" t="s">
        <v>179</v>
      </c>
      <c r="K2" s="263" t="s">
        <v>180</v>
      </c>
      <c r="L2" s="263" t="s">
        <v>181</v>
      </c>
      <c r="M2" s="287" t="s">
        <v>2</v>
      </c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 t="s">
        <v>3</v>
      </c>
      <c r="AI2" s="287"/>
      <c r="AJ2" s="287"/>
      <c r="AK2" s="287"/>
      <c r="AL2" s="287"/>
      <c r="AM2" s="287"/>
      <c r="AN2" s="287"/>
      <c r="AO2" s="287"/>
      <c r="AP2" s="287" t="s">
        <v>4</v>
      </c>
      <c r="AQ2" s="287"/>
      <c r="AR2" s="270" t="s">
        <v>5</v>
      </c>
    </row>
    <row r="3" spans="1:44" ht="16.5" customHeight="1" x14ac:dyDescent="0.3">
      <c r="A3" s="276"/>
      <c r="B3" s="258"/>
      <c r="C3" s="258"/>
      <c r="D3" s="280"/>
      <c r="E3" s="281"/>
      <c r="F3" s="281"/>
      <c r="G3" s="281"/>
      <c r="H3" s="283"/>
      <c r="I3" s="285"/>
      <c r="J3" s="269"/>
      <c r="K3" s="262"/>
      <c r="L3" s="262"/>
      <c r="M3" s="239" t="s">
        <v>6</v>
      </c>
      <c r="N3" s="239"/>
      <c r="O3" s="239"/>
      <c r="P3" s="239"/>
      <c r="Q3" s="239"/>
      <c r="R3" s="239"/>
      <c r="S3" s="239" t="s">
        <v>7</v>
      </c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 t="s">
        <v>8</v>
      </c>
      <c r="AF3" s="239"/>
      <c r="AG3" s="236" t="s">
        <v>9</v>
      </c>
      <c r="AH3" s="239" t="s">
        <v>10</v>
      </c>
      <c r="AI3" s="239"/>
      <c r="AJ3" s="239"/>
      <c r="AK3" s="239" t="s">
        <v>11</v>
      </c>
      <c r="AL3" s="239"/>
      <c r="AM3" s="239"/>
      <c r="AN3" s="239"/>
      <c r="AO3" s="236" t="s">
        <v>12</v>
      </c>
      <c r="AP3" s="239"/>
      <c r="AQ3" s="239"/>
      <c r="AR3" s="271"/>
    </row>
    <row r="4" spans="1:44" x14ac:dyDescent="0.3">
      <c r="A4" s="276"/>
      <c r="B4" s="258"/>
      <c r="C4" s="258"/>
      <c r="D4" s="280"/>
      <c r="E4" s="281"/>
      <c r="F4" s="281"/>
      <c r="G4" s="281"/>
      <c r="H4" s="283"/>
      <c r="I4" s="285"/>
      <c r="J4" s="269"/>
      <c r="K4" s="262"/>
      <c r="L4" s="262"/>
      <c r="M4" s="239" t="s">
        <v>13</v>
      </c>
      <c r="N4" s="239"/>
      <c r="O4" s="239"/>
      <c r="P4" s="239"/>
      <c r="Q4" s="239"/>
      <c r="R4" s="236" t="s">
        <v>14</v>
      </c>
      <c r="S4" s="239" t="s">
        <v>13</v>
      </c>
      <c r="T4" s="239"/>
      <c r="U4" s="239"/>
      <c r="V4" s="239"/>
      <c r="W4" s="239"/>
      <c r="X4" s="239"/>
      <c r="Y4" s="243" t="s">
        <v>15</v>
      </c>
      <c r="Z4" s="243"/>
      <c r="AA4" s="243"/>
      <c r="AB4" s="243"/>
      <c r="AC4" s="243"/>
      <c r="AD4" s="236" t="s">
        <v>16</v>
      </c>
      <c r="AE4" s="239" t="s">
        <v>13</v>
      </c>
      <c r="AF4" s="239"/>
      <c r="AG4" s="237"/>
      <c r="AH4" s="264" t="s">
        <v>13</v>
      </c>
      <c r="AI4" s="264"/>
      <c r="AJ4" s="264"/>
      <c r="AK4" s="264" t="s">
        <v>13</v>
      </c>
      <c r="AL4" s="264"/>
      <c r="AM4" s="264"/>
      <c r="AN4" s="101" t="s">
        <v>140</v>
      </c>
      <c r="AO4" s="237"/>
      <c r="AP4" s="239"/>
      <c r="AQ4" s="239"/>
      <c r="AR4" s="271"/>
    </row>
    <row r="5" spans="1:44" ht="43.5" customHeight="1" x14ac:dyDescent="0.3">
      <c r="A5" s="276"/>
      <c r="B5" s="258"/>
      <c r="C5" s="258"/>
      <c r="D5" s="280"/>
      <c r="E5" s="281"/>
      <c r="F5" s="281"/>
      <c r="G5" s="281"/>
      <c r="H5" s="283"/>
      <c r="I5" s="286"/>
      <c r="J5" s="269"/>
      <c r="K5" s="262"/>
      <c r="L5" s="262"/>
      <c r="M5" s="98" t="s">
        <v>120</v>
      </c>
      <c r="N5" s="98" t="s">
        <v>121</v>
      </c>
      <c r="O5" s="98" t="s">
        <v>122</v>
      </c>
      <c r="P5" s="102" t="s">
        <v>150</v>
      </c>
      <c r="Q5" s="100" t="s">
        <v>17</v>
      </c>
      <c r="R5" s="237"/>
      <c r="S5" s="98" t="s">
        <v>18</v>
      </c>
      <c r="T5" s="100" t="s">
        <v>19</v>
      </c>
      <c r="U5" s="100" t="s">
        <v>20</v>
      </c>
      <c r="V5" s="100" t="s">
        <v>21</v>
      </c>
      <c r="W5" s="100" t="s">
        <v>22</v>
      </c>
      <c r="X5" s="100" t="s">
        <v>23</v>
      </c>
      <c r="Y5" s="100" t="s">
        <v>24</v>
      </c>
      <c r="Z5" s="100" t="s">
        <v>25</v>
      </c>
      <c r="AA5" s="100" t="s">
        <v>26</v>
      </c>
      <c r="AB5" s="100" t="s">
        <v>27</v>
      </c>
      <c r="AC5" s="98" t="s">
        <v>28</v>
      </c>
      <c r="AD5" s="237"/>
      <c r="AE5" s="100" t="s">
        <v>23</v>
      </c>
      <c r="AF5" s="100" t="s">
        <v>29</v>
      </c>
      <c r="AG5" s="237"/>
      <c r="AH5" s="100" t="s">
        <v>30</v>
      </c>
      <c r="AI5" s="103" t="s">
        <v>148</v>
      </c>
      <c r="AJ5" s="100" t="s">
        <v>31</v>
      </c>
      <c r="AK5" s="100" t="s">
        <v>30</v>
      </c>
      <c r="AL5" s="103" t="s">
        <v>148</v>
      </c>
      <c r="AM5" s="100" t="s">
        <v>31</v>
      </c>
      <c r="AN5" s="99" t="s">
        <v>149</v>
      </c>
      <c r="AO5" s="237"/>
      <c r="AP5" s="100" t="s">
        <v>32</v>
      </c>
      <c r="AQ5" s="100" t="s">
        <v>33</v>
      </c>
      <c r="AR5" s="271"/>
    </row>
    <row r="6" spans="1:44" ht="20.100000000000001" customHeight="1" x14ac:dyDescent="0.3">
      <c r="A6" s="104" t="s">
        <v>34</v>
      </c>
      <c r="B6" s="4" t="s">
        <v>35</v>
      </c>
      <c r="C6" s="107">
        <v>85</v>
      </c>
      <c r="D6" s="108">
        <v>85</v>
      </c>
      <c r="E6" s="107">
        <f>D6-C6</f>
        <v>0</v>
      </c>
      <c r="F6" s="109"/>
      <c r="G6" s="106" t="s">
        <v>182</v>
      </c>
      <c r="H6" s="110" t="s">
        <v>183</v>
      </c>
      <c r="I6" s="97"/>
      <c r="J6" s="8"/>
      <c r="K6" s="111">
        <f>D6+J6</f>
        <v>85</v>
      </c>
      <c r="L6" s="111">
        <f>SUM(M6:Q6)+SUM(S6:X6)+SUM(AE6:AF6)+SUM(AH6:AM6)</f>
        <v>85</v>
      </c>
      <c r="M6" s="111">
        <v>11</v>
      </c>
      <c r="N6" s="111">
        <v>7</v>
      </c>
      <c r="O6" s="111"/>
      <c r="P6" s="111"/>
      <c r="Q6" s="111">
        <v>2</v>
      </c>
      <c r="R6" s="112">
        <f>SUM(M6:Q6)</f>
        <v>20</v>
      </c>
      <c r="S6" s="8">
        <v>23</v>
      </c>
      <c r="T6" s="8">
        <v>13</v>
      </c>
      <c r="U6" s="8"/>
      <c r="V6" s="111">
        <v>2</v>
      </c>
      <c r="W6" s="111"/>
      <c r="X6" s="111"/>
      <c r="Y6" s="111"/>
      <c r="Z6" s="111"/>
      <c r="AA6" s="111"/>
      <c r="AB6" s="111"/>
      <c r="AC6" s="111"/>
      <c r="AD6" s="112">
        <f>SUM(S6:AC6)</f>
        <v>38</v>
      </c>
      <c r="AE6" s="111"/>
      <c r="AF6" s="111"/>
      <c r="AG6" s="112">
        <f>SUM(M6:Q6)+SUM(S6:AC6)+SUM(AE6:AF6)</f>
        <v>58</v>
      </c>
      <c r="AH6" s="111"/>
      <c r="AI6" s="111"/>
      <c r="AJ6" s="111"/>
      <c r="AK6" s="8">
        <v>23</v>
      </c>
      <c r="AL6" s="8">
        <v>4</v>
      </c>
      <c r="AM6" s="8"/>
      <c r="AN6" s="111"/>
      <c r="AO6" s="112">
        <f>SUM(AH6:AN6)</f>
        <v>27</v>
      </c>
      <c r="AP6" s="111">
        <f>SUM(M6:Q6)+SUM(S6:X6)+SUM(AE6:AF6)+SUM(AH6:AM6)</f>
        <v>85</v>
      </c>
      <c r="AQ6" s="111">
        <f>SUM(Y6:AC6)+AN6</f>
        <v>0</v>
      </c>
      <c r="AR6" s="113">
        <f>AP6+AQ6</f>
        <v>85</v>
      </c>
    </row>
    <row r="7" spans="1:44" ht="20.100000000000001" customHeight="1" x14ac:dyDescent="0.3">
      <c r="A7" s="105" t="s">
        <v>36</v>
      </c>
      <c r="B7" s="7" t="s">
        <v>123</v>
      </c>
      <c r="C7" s="114">
        <f>SUM(C6)</f>
        <v>85</v>
      </c>
      <c r="D7" s="115">
        <f t="shared" ref="D7:AR7" si="0">SUM(D6)</f>
        <v>85</v>
      </c>
      <c r="E7" s="114">
        <f t="shared" si="0"/>
        <v>0</v>
      </c>
      <c r="F7" s="114">
        <f t="shared" si="0"/>
        <v>0</v>
      </c>
      <c r="G7" s="114">
        <f t="shared" si="0"/>
        <v>0</v>
      </c>
      <c r="H7" s="116">
        <f t="shared" si="0"/>
        <v>0</v>
      </c>
      <c r="I7" s="116">
        <f t="shared" si="0"/>
        <v>0</v>
      </c>
      <c r="J7" s="114">
        <f t="shared" si="0"/>
        <v>0</v>
      </c>
      <c r="K7" s="114">
        <f t="shared" si="0"/>
        <v>85</v>
      </c>
      <c r="L7" s="114">
        <f t="shared" si="0"/>
        <v>85</v>
      </c>
      <c r="M7" s="114">
        <f t="shared" si="0"/>
        <v>11</v>
      </c>
      <c r="N7" s="114">
        <f t="shared" si="0"/>
        <v>7</v>
      </c>
      <c r="O7" s="114">
        <f t="shared" si="0"/>
        <v>0</v>
      </c>
      <c r="P7" s="114">
        <f t="shared" si="0"/>
        <v>0</v>
      </c>
      <c r="Q7" s="114">
        <f t="shared" si="0"/>
        <v>2</v>
      </c>
      <c r="R7" s="114">
        <f t="shared" si="0"/>
        <v>20</v>
      </c>
      <c r="S7" s="114">
        <f t="shared" si="0"/>
        <v>23</v>
      </c>
      <c r="T7" s="114">
        <f t="shared" si="0"/>
        <v>13</v>
      </c>
      <c r="U7" s="114">
        <f t="shared" si="0"/>
        <v>0</v>
      </c>
      <c r="V7" s="114">
        <f t="shared" si="0"/>
        <v>2</v>
      </c>
      <c r="W7" s="114">
        <f t="shared" si="0"/>
        <v>0</v>
      </c>
      <c r="X7" s="114">
        <f t="shared" si="0"/>
        <v>0</v>
      </c>
      <c r="Y7" s="114">
        <f t="shared" si="0"/>
        <v>0</v>
      </c>
      <c r="Z7" s="114">
        <f t="shared" si="0"/>
        <v>0</v>
      </c>
      <c r="AA7" s="114">
        <f t="shared" si="0"/>
        <v>0</v>
      </c>
      <c r="AB7" s="114">
        <f t="shared" si="0"/>
        <v>0</v>
      </c>
      <c r="AC7" s="114">
        <f t="shared" si="0"/>
        <v>0</v>
      </c>
      <c r="AD7" s="114">
        <f t="shared" si="0"/>
        <v>38</v>
      </c>
      <c r="AE7" s="114">
        <f t="shared" si="0"/>
        <v>0</v>
      </c>
      <c r="AF7" s="114">
        <f t="shared" si="0"/>
        <v>0</v>
      </c>
      <c r="AG7" s="114">
        <f t="shared" si="0"/>
        <v>58</v>
      </c>
      <c r="AH7" s="114">
        <f t="shared" si="0"/>
        <v>0</v>
      </c>
      <c r="AI7" s="114">
        <f t="shared" si="0"/>
        <v>0</v>
      </c>
      <c r="AJ7" s="114">
        <f t="shared" si="0"/>
        <v>0</v>
      </c>
      <c r="AK7" s="114">
        <f t="shared" si="0"/>
        <v>23</v>
      </c>
      <c r="AL7" s="114">
        <f t="shared" si="0"/>
        <v>4</v>
      </c>
      <c r="AM7" s="114">
        <f t="shared" si="0"/>
        <v>0</v>
      </c>
      <c r="AN7" s="114">
        <f t="shared" si="0"/>
        <v>0</v>
      </c>
      <c r="AO7" s="114">
        <f t="shared" si="0"/>
        <v>27</v>
      </c>
      <c r="AP7" s="114">
        <f t="shared" si="0"/>
        <v>85</v>
      </c>
      <c r="AQ7" s="114">
        <f t="shared" si="0"/>
        <v>0</v>
      </c>
      <c r="AR7" s="117">
        <f t="shared" si="0"/>
        <v>85</v>
      </c>
    </row>
    <row r="8" spans="1:44" ht="20.100000000000001" customHeight="1" x14ac:dyDescent="0.3">
      <c r="A8" s="104" t="s">
        <v>37</v>
      </c>
      <c r="B8" s="4" t="s">
        <v>38</v>
      </c>
      <c r="C8" s="107">
        <v>209</v>
      </c>
      <c r="D8" s="108">
        <v>209</v>
      </c>
      <c r="E8" s="107">
        <f t="shared" ref="E8:E70" si="1">D8-C8</f>
        <v>0</v>
      </c>
      <c r="F8" s="109" t="s">
        <v>184</v>
      </c>
      <c r="G8" s="118" t="s">
        <v>185</v>
      </c>
      <c r="H8" s="110" t="s">
        <v>183</v>
      </c>
      <c r="I8" s="97"/>
      <c r="J8" s="119"/>
      <c r="K8" s="8">
        <f t="shared" ref="K8:K70" si="2">D8+J8</f>
        <v>209</v>
      </c>
      <c r="L8" s="8">
        <f>SUM(M8:Q8)+SUM(S8:X8)+SUM(AE8:AF8)+SUM(AH8:AM8)</f>
        <v>209</v>
      </c>
      <c r="M8" s="8">
        <v>37</v>
      </c>
      <c r="N8" s="8">
        <v>17</v>
      </c>
      <c r="O8" s="8"/>
      <c r="P8" s="8"/>
      <c r="Q8" s="8">
        <v>9</v>
      </c>
      <c r="R8" s="112">
        <f t="shared" ref="R8:R70" si="3">SUM(M8:Q8)</f>
        <v>63</v>
      </c>
      <c r="S8" s="8">
        <v>49</v>
      </c>
      <c r="T8" s="8">
        <v>28</v>
      </c>
      <c r="U8" s="8"/>
      <c r="V8" s="8"/>
      <c r="W8" s="8">
        <v>9</v>
      </c>
      <c r="X8" s="8"/>
      <c r="Y8" s="8">
        <v>4</v>
      </c>
      <c r="Z8" s="8"/>
      <c r="AA8" s="8">
        <v>7</v>
      </c>
      <c r="AB8" s="8" t="s">
        <v>39</v>
      </c>
      <c r="AC8" s="8"/>
      <c r="AD8" s="112">
        <f>SUM(S8:AC8)</f>
        <v>97</v>
      </c>
      <c r="AE8" s="8"/>
      <c r="AF8" s="8"/>
      <c r="AG8" s="112">
        <f>SUM(M8:Q8)+SUM(S8:AC8)+SUM(AE8:AF8)</f>
        <v>160</v>
      </c>
      <c r="AH8" s="8">
        <v>60</v>
      </c>
      <c r="AI8" s="8"/>
      <c r="AJ8" s="8"/>
      <c r="AK8" s="8"/>
      <c r="AL8" s="8"/>
      <c r="AM8" s="8"/>
      <c r="AN8" s="8"/>
      <c r="AO8" s="112">
        <f t="shared" ref="AO8:AO70" si="4">SUM(AH8:AN8)</f>
        <v>60</v>
      </c>
      <c r="AP8" s="8">
        <f>SUM(M8:Q8)+SUM(S8:X8)+SUM(AE8:AF8)+SUM(AH8:AM8)</f>
        <v>209</v>
      </c>
      <c r="AQ8" s="8">
        <f>SUM(Y8:AC8)+AN8</f>
        <v>11</v>
      </c>
      <c r="AR8" s="113">
        <f t="shared" ref="AR8:AR70" si="5">AP8+AQ8</f>
        <v>220</v>
      </c>
    </row>
    <row r="9" spans="1:44" ht="20.100000000000001" customHeight="1" x14ac:dyDescent="0.3">
      <c r="A9" s="104" t="s">
        <v>37</v>
      </c>
      <c r="B9" s="4" t="s">
        <v>40</v>
      </c>
      <c r="C9" s="107">
        <v>79</v>
      </c>
      <c r="D9" s="108">
        <v>79</v>
      </c>
      <c r="E9" s="107">
        <f t="shared" si="1"/>
        <v>0</v>
      </c>
      <c r="F9" s="109"/>
      <c r="G9" s="84"/>
      <c r="H9" s="85"/>
      <c r="I9" s="85"/>
      <c r="J9" s="8"/>
      <c r="K9" s="8">
        <f t="shared" si="2"/>
        <v>79</v>
      </c>
      <c r="L9" s="8">
        <f>SUM(M9:Q9)+SUM(S9:X9)+SUM(AE9:AF9)+SUM(AH9:AM9)</f>
        <v>79</v>
      </c>
      <c r="M9" s="8">
        <v>15</v>
      </c>
      <c r="N9" s="8">
        <v>7</v>
      </c>
      <c r="O9" s="8"/>
      <c r="P9" s="8"/>
      <c r="Q9" s="8">
        <v>2</v>
      </c>
      <c r="R9" s="112">
        <f t="shared" si="3"/>
        <v>24</v>
      </c>
      <c r="S9" s="8">
        <v>18</v>
      </c>
      <c r="T9" s="8">
        <v>13</v>
      </c>
      <c r="U9" s="8"/>
      <c r="V9" s="8"/>
      <c r="W9" s="8">
        <v>3</v>
      </c>
      <c r="X9" s="8"/>
      <c r="Y9" s="8">
        <v>3</v>
      </c>
      <c r="Z9" s="8"/>
      <c r="AA9" s="8"/>
      <c r="AB9" s="8" t="s">
        <v>39</v>
      </c>
      <c r="AC9" s="8"/>
      <c r="AD9" s="112">
        <f>SUM(S9:AC9)</f>
        <v>37</v>
      </c>
      <c r="AE9" s="8"/>
      <c r="AF9" s="8"/>
      <c r="AG9" s="112">
        <f>SUM(M9:Q9)+SUM(S9:AC9)+SUM(AE9:AF9)</f>
        <v>61</v>
      </c>
      <c r="AH9" s="8">
        <v>21</v>
      </c>
      <c r="AI9" s="8"/>
      <c r="AJ9" s="8"/>
      <c r="AK9" s="8"/>
      <c r="AL9" s="8"/>
      <c r="AM9" s="8"/>
      <c r="AN9" s="8"/>
      <c r="AO9" s="112">
        <f t="shared" si="4"/>
        <v>21</v>
      </c>
      <c r="AP9" s="8">
        <f>SUM(M9:Q9)+SUM(S9:X9)+SUM(AE9:AF9)+SUM(AH9:AM9)</f>
        <v>79</v>
      </c>
      <c r="AQ9" s="8">
        <f>SUM(Y9:AC9)+AN9</f>
        <v>3</v>
      </c>
      <c r="AR9" s="113">
        <f t="shared" si="5"/>
        <v>82</v>
      </c>
    </row>
    <row r="10" spans="1:44" ht="20.100000000000001" customHeight="1" x14ac:dyDescent="0.3">
      <c r="A10" s="104" t="s">
        <v>37</v>
      </c>
      <c r="B10" s="4" t="s">
        <v>41</v>
      </c>
      <c r="C10" s="107">
        <v>33</v>
      </c>
      <c r="D10" s="108">
        <v>33</v>
      </c>
      <c r="E10" s="107">
        <f t="shared" si="1"/>
        <v>0</v>
      </c>
      <c r="F10" s="109"/>
      <c r="G10" s="84"/>
      <c r="H10" s="85"/>
      <c r="I10" s="85"/>
      <c r="J10" s="8"/>
      <c r="K10" s="8">
        <f t="shared" si="2"/>
        <v>33</v>
      </c>
      <c r="L10" s="8">
        <f>SUM(M10:Q10)+SUM(S10:X10)+SUM(AE10:AF10)+SUM(AH10:AM10)</f>
        <v>33</v>
      </c>
      <c r="M10" s="8">
        <v>7</v>
      </c>
      <c r="N10" s="8">
        <v>4</v>
      </c>
      <c r="O10" s="8"/>
      <c r="P10" s="8"/>
      <c r="Q10" s="8">
        <v>2</v>
      </c>
      <c r="R10" s="112">
        <f t="shared" si="3"/>
        <v>13</v>
      </c>
      <c r="S10" s="8">
        <v>7</v>
      </c>
      <c r="T10" s="8">
        <v>5</v>
      </c>
      <c r="U10" s="8"/>
      <c r="V10" s="8"/>
      <c r="W10" s="8">
        <v>2</v>
      </c>
      <c r="X10" s="8"/>
      <c r="Y10" s="8">
        <v>2</v>
      </c>
      <c r="Z10" s="8"/>
      <c r="AA10" s="8">
        <v>2</v>
      </c>
      <c r="AB10" s="8" t="s">
        <v>42</v>
      </c>
      <c r="AC10" s="8"/>
      <c r="AD10" s="112">
        <f>SUM(S10:AC10)</f>
        <v>18</v>
      </c>
      <c r="AE10" s="8"/>
      <c r="AF10" s="8"/>
      <c r="AG10" s="112">
        <f>SUM(M10:Q10)+SUM(S10:AC10)+SUM(AE10:AF10)</f>
        <v>31</v>
      </c>
      <c r="AH10" s="8">
        <v>6</v>
      </c>
      <c r="AI10" s="8"/>
      <c r="AJ10" s="8"/>
      <c r="AK10" s="8"/>
      <c r="AL10" s="8"/>
      <c r="AM10" s="8"/>
      <c r="AN10" s="8"/>
      <c r="AO10" s="112">
        <f t="shared" si="4"/>
        <v>6</v>
      </c>
      <c r="AP10" s="8">
        <f>SUM(M10:Q10)+SUM(S10:X10)+SUM(AE10:AF10)+SUM(AH10:AM10)</f>
        <v>33</v>
      </c>
      <c r="AQ10" s="8">
        <f>SUM(Y10:AC10)+AN10</f>
        <v>4</v>
      </c>
      <c r="AR10" s="113">
        <f t="shared" si="5"/>
        <v>37</v>
      </c>
    </row>
    <row r="11" spans="1:44" ht="20.100000000000001" customHeight="1" x14ac:dyDescent="0.3">
      <c r="A11" s="104" t="s">
        <v>37</v>
      </c>
      <c r="B11" s="4" t="s">
        <v>43</v>
      </c>
      <c r="C11" s="107">
        <v>55</v>
      </c>
      <c r="D11" s="108">
        <v>55</v>
      </c>
      <c r="E11" s="107">
        <f t="shared" si="1"/>
        <v>0</v>
      </c>
      <c r="F11" s="109"/>
      <c r="G11" s="84"/>
      <c r="H11" s="85"/>
      <c r="I11" s="85"/>
      <c r="J11" s="8"/>
      <c r="K11" s="8">
        <f t="shared" si="2"/>
        <v>55</v>
      </c>
      <c r="L11" s="8">
        <f>SUM(M11:Q11)+SUM(S11:X11)+SUM(AE11:AF11)+SUM(AH11:AM11)</f>
        <v>55</v>
      </c>
      <c r="M11" s="8">
        <v>12</v>
      </c>
      <c r="N11" s="8">
        <v>5</v>
      </c>
      <c r="O11" s="8"/>
      <c r="P11" s="8"/>
      <c r="Q11" s="8">
        <v>3</v>
      </c>
      <c r="R11" s="112">
        <f t="shared" si="3"/>
        <v>20</v>
      </c>
      <c r="S11" s="8">
        <v>12</v>
      </c>
      <c r="T11" s="8">
        <v>9</v>
      </c>
      <c r="U11" s="8"/>
      <c r="V11" s="8"/>
      <c r="W11" s="8">
        <v>3</v>
      </c>
      <c r="X11" s="8"/>
      <c r="Y11" s="8">
        <v>2</v>
      </c>
      <c r="Z11" s="8"/>
      <c r="AA11" s="8">
        <v>3</v>
      </c>
      <c r="AB11" s="8" t="s">
        <v>39</v>
      </c>
      <c r="AC11" s="8"/>
      <c r="AD11" s="112">
        <f>SUM(S11:AC11)</f>
        <v>29</v>
      </c>
      <c r="AE11" s="8"/>
      <c r="AF11" s="8"/>
      <c r="AG11" s="112">
        <f>SUM(M11:Q11)+SUM(S11:AC11)+SUM(AE11:AF11)</f>
        <v>49</v>
      </c>
      <c r="AH11" s="8">
        <v>11</v>
      </c>
      <c r="AI11" s="8"/>
      <c r="AJ11" s="8"/>
      <c r="AK11" s="8"/>
      <c r="AL11" s="8"/>
      <c r="AM11" s="8"/>
      <c r="AN11" s="8"/>
      <c r="AO11" s="112">
        <f t="shared" si="4"/>
        <v>11</v>
      </c>
      <c r="AP11" s="8">
        <f>SUM(M11:Q11)+SUM(S11:X11)+SUM(AE11:AF11)+SUM(AH11:AM11)</f>
        <v>55</v>
      </c>
      <c r="AQ11" s="8">
        <f>SUM(Y11:AC11)+AN11</f>
        <v>5</v>
      </c>
      <c r="AR11" s="113">
        <f t="shared" si="5"/>
        <v>60</v>
      </c>
    </row>
    <row r="12" spans="1:44" ht="20.100000000000001" customHeight="1" x14ac:dyDescent="0.3">
      <c r="A12" s="105" t="s">
        <v>36</v>
      </c>
      <c r="B12" s="7" t="s">
        <v>124</v>
      </c>
      <c r="C12" s="114">
        <f>SUM(C8:C11)</f>
        <v>376</v>
      </c>
      <c r="D12" s="115">
        <f t="shared" ref="D12:AR12" si="6">SUM(D8:D11)</f>
        <v>376</v>
      </c>
      <c r="E12" s="114">
        <f t="shared" si="6"/>
        <v>0</v>
      </c>
      <c r="F12" s="114">
        <f t="shared" si="6"/>
        <v>0</v>
      </c>
      <c r="G12" s="114">
        <f t="shared" si="6"/>
        <v>0</v>
      </c>
      <c r="H12" s="116">
        <f t="shared" si="6"/>
        <v>0</v>
      </c>
      <c r="I12" s="116">
        <f t="shared" si="6"/>
        <v>0</v>
      </c>
      <c r="J12" s="114">
        <f t="shared" si="6"/>
        <v>0</v>
      </c>
      <c r="K12" s="114">
        <f t="shared" si="6"/>
        <v>376</v>
      </c>
      <c r="L12" s="114">
        <f t="shared" si="6"/>
        <v>376</v>
      </c>
      <c r="M12" s="114">
        <f t="shared" si="6"/>
        <v>71</v>
      </c>
      <c r="N12" s="114">
        <f t="shared" si="6"/>
        <v>33</v>
      </c>
      <c r="O12" s="114">
        <f t="shared" si="6"/>
        <v>0</v>
      </c>
      <c r="P12" s="114">
        <f t="shared" si="6"/>
        <v>0</v>
      </c>
      <c r="Q12" s="114">
        <f t="shared" si="6"/>
        <v>16</v>
      </c>
      <c r="R12" s="114">
        <f t="shared" si="6"/>
        <v>120</v>
      </c>
      <c r="S12" s="114">
        <f t="shared" si="6"/>
        <v>86</v>
      </c>
      <c r="T12" s="114">
        <f t="shared" si="6"/>
        <v>55</v>
      </c>
      <c r="U12" s="114">
        <f t="shared" si="6"/>
        <v>0</v>
      </c>
      <c r="V12" s="114">
        <f t="shared" si="6"/>
        <v>0</v>
      </c>
      <c r="W12" s="114">
        <f t="shared" si="6"/>
        <v>17</v>
      </c>
      <c r="X12" s="114">
        <f t="shared" si="6"/>
        <v>0</v>
      </c>
      <c r="Y12" s="114">
        <f t="shared" si="6"/>
        <v>11</v>
      </c>
      <c r="Z12" s="114">
        <f t="shared" si="6"/>
        <v>0</v>
      </c>
      <c r="AA12" s="114">
        <f t="shared" si="6"/>
        <v>12</v>
      </c>
      <c r="AB12" s="114">
        <f t="shared" si="6"/>
        <v>0</v>
      </c>
      <c r="AC12" s="114">
        <f t="shared" si="6"/>
        <v>0</v>
      </c>
      <c r="AD12" s="114">
        <f t="shared" si="6"/>
        <v>181</v>
      </c>
      <c r="AE12" s="114">
        <f t="shared" si="6"/>
        <v>0</v>
      </c>
      <c r="AF12" s="114">
        <f t="shared" si="6"/>
        <v>0</v>
      </c>
      <c r="AG12" s="114">
        <f t="shared" si="6"/>
        <v>301</v>
      </c>
      <c r="AH12" s="114">
        <f t="shared" si="6"/>
        <v>98</v>
      </c>
      <c r="AI12" s="114">
        <f t="shared" si="6"/>
        <v>0</v>
      </c>
      <c r="AJ12" s="114">
        <f t="shared" si="6"/>
        <v>0</v>
      </c>
      <c r="AK12" s="114">
        <f t="shared" si="6"/>
        <v>0</v>
      </c>
      <c r="AL12" s="114">
        <f t="shared" si="6"/>
        <v>0</v>
      </c>
      <c r="AM12" s="114">
        <f t="shared" si="6"/>
        <v>0</v>
      </c>
      <c r="AN12" s="114">
        <f t="shared" si="6"/>
        <v>0</v>
      </c>
      <c r="AO12" s="114">
        <f t="shared" si="6"/>
        <v>98</v>
      </c>
      <c r="AP12" s="114">
        <f t="shared" si="6"/>
        <v>376</v>
      </c>
      <c r="AQ12" s="114">
        <f t="shared" si="6"/>
        <v>23</v>
      </c>
      <c r="AR12" s="117">
        <f t="shared" si="6"/>
        <v>399</v>
      </c>
    </row>
    <row r="13" spans="1:44" ht="20.100000000000001" customHeight="1" x14ac:dyDescent="0.3">
      <c r="A13" s="104" t="s">
        <v>44</v>
      </c>
      <c r="B13" s="4" t="s">
        <v>45</v>
      </c>
      <c r="C13" s="107">
        <v>6</v>
      </c>
      <c r="D13" s="108">
        <v>6</v>
      </c>
      <c r="E13" s="107">
        <f t="shared" si="1"/>
        <v>0</v>
      </c>
      <c r="F13" s="109"/>
      <c r="G13" s="106" t="s">
        <v>186</v>
      </c>
      <c r="H13" s="120" t="s">
        <v>187</v>
      </c>
      <c r="I13" s="97"/>
      <c r="J13" s="8"/>
      <c r="K13" s="8">
        <f t="shared" si="2"/>
        <v>6</v>
      </c>
      <c r="L13" s="8">
        <f t="shared" ref="L13:L18" si="7">SUM(M13:Q13)+SUM(S13:X13)+SUM(AE13:AF13)+SUM(AH13:AM13)</f>
        <v>6</v>
      </c>
      <c r="M13" s="8"/>
      <c r="N13" s="8"/>
      <c r="O13" s="8"/>
      <c r="P13" s="8"/>
      <c r="Q13" s="8"/>
      <c r="R13" s="112">
        <f t="shared" si="3"/>
        <v>0</v>
      </c>
      <c r="S13" s="8"/>
      <c r="T13" s="8"/>
      <c r="U13" s="8">
        <v>6</v>
      </c>
      <c r="V13" s="8"/>
      <c r="W13" s="8"/>
      <c r="X13" s="8"/>
      <c r="Y13" s="8"/>
      <c r="Z13" s="8"/>
      <c r="AA13" s="8"/>
      <c r="AB13" s="8"/>
      <c r="AC13" s="8">
        <v>6</v>
      </c>
      <c r="AD13" s="112">
        <f t="shared" ref="AD13:AD18" si="8">SUM(S13:AC13)</f>
        <v>12</v>
      </c>
      <c r="AE13" s="8"/>
      <c r="AF13" s="8"/>
      <c r="AG13" s="112">
        <f t="shared" ref="AG13:AG18" si="9">SUM(M13:Q13)+SUM(S13:AC13)+SUM(AE13:AF13)</f>
        <v>12</v>
      </c>
      <c r="AH13" s="8"/>
      <c r="AI13" s="8"/>
      <c r="AJ13" s="8"/>
      <c r="AK13" s="8"/>
      <c r="AL13" s="8"/>
      <c r="AM13" s="8"/>
      <c r="AN13" s="8">
        <v>9</v>
      </c>
      <c r="AO13" s="112">
        <f t="shared" si="4"/>
        <v>9</v>
      </c>
      <c r="AP13" s="8">
        <f t="shared" ref="AP13:AP18" si="10">SUM(M13:Q13)+SUM(S13:X13)+SUM(AE13:AF13)+SUM(AH13:AM13)</f>
        <v>6</v>
      </c>
      <c r="AQ13" s="8">
        <f t="shared" ref="AQ13:AQ18" si="11">SUM(Y13:AC13)+AN13</f>
        <v>15</v>
      </c>
      <c r="AR13" s="113">
        <f t="shared" si="5"/>
        <v>21</v>
      </c>
    </row>
    <row r="14" spans="1:44" ht="20.100000000000001" customHeight="1" x14ac:dyDescent="0.3">
      <c r="A14" s="104" t="s">
        <v>44</v>
      </c>
      <c r="B14" s="4" t="s">
        <v>46</v>
      </c>
      <c r="C14" s="107">
        <v>56</v>
      </c>
      <c r="D14" s="108">
        <v>58</v>
      </c>
      <c r="E14" s="121">
        <f t="shared" si="1"/>
        <v>2</v>
      </c>
      <c r="F14" s="109" t="s">
        <v>174</v>
      </c>
      <c r="G14" s="106" t="s">
        <v>188</v>
      </c>
      <c r="H14" s="110" t="s">
        <v>183</v>
      </c>
      <c r="I14" s="97"/>
      <c r="J14" s="8"/>
      <c r="K14" s="8">
        <f t="shared" si="2"/>
        <v>58</v>
      </c>
      <c r="L14" s="8">
        <f t="shared" si="7"/>
        <v>58</v>
      </c>
      <c r="M14" s="8">
        <v>12</v>
      </c>
      <c r="N14" s="8">
        <v>8</v>
      </c>
      <c r="O14" s="8"/>
      <c r="P14" s="8"/>
      <c r="Q14" s="8">
        <v>2</v>
      </c>
      <c r="R14" s="112">
        <f t="shared" si="3"/>
        <v>22</v>
      </c>
      <c r="S14" s="8">
        <v>12</v>
      </c>
      <c r="T14" s="8">
        <v>12</v>
      </c>
      <c r="U14" s="8"/>
      <c r="V14" s="8"/>
      <c r="W14" s="8">
        <v>2</v>
      </c>
      <c r="X14" s="8"/>
      <c r="Y14" s="8">
        <v>2</v>
      </c>
      <c r="Z14" s="8"/>
      <c r="AA14" s="8">
        <v>3</v>
      </c>
      <c r="AB14" s="8"/>
      <c r="AC14" s="8"/>
      <c r="AD14" s="112">
        <f t="shared" si="8"/>
        <v>31</v>
      </c>
      <c r="AE14" s="8"/>
      <c r="AF14" s="8"/>
      <c r="AG14" s="112">
        <f t="shared" si="9"/>
        <v>53</v>
      </c>
      <c r="AH14" s="8"/>
      <c r="AI14" s="8"/>
      <c r="AJ14" s="8"/>
      <c r="AK14" s="8">
        <v>10</v>
      </c>
      <c r="AL14" s="8"/>
      <c r="AM14" s="8"/>
      <c r="AN14" s="8"/>
      <c r="AO14" s="112">
        <f t="shared" si="4"/>
        <v>10</v>
      </c>
      <c r="AP14" s="8">
        <f t="shared" si="10"/>
        <v>58</v>
      </c>
      <c r="AQ14" s="8">
        <f t="shared" si="11"/>
        <v>5</v>
      </c>
      <c r="AR14" s="113">
        <f t="shared" si="5"/>
        <v>63</v>
      </c>
    </row>
    <row r="15" spans="1:44" ht="20.100000000000001" customHeight="1" x14ac:dyDescent="0.3">
      <c r="A15" s="104" t="s">
        <v>44</v>
      </c>
      <c r="B15" s="4" t="s">
        <v>47</v>
      </c>
      <c r="C15" s="107">
        <v>48</v>
      </c>
      <c r="D15" s="108">
        <v>48</v>
      </c>
      <c r="E15" s="107">
        <f t="shared" si="1"/>
        <v>0</v>
      </c>
      <c r="F15" s="109"/>
      <c r="G15" s="84"/>
      <c r="H15" s="85"/>
      <c r="I15" s="85"/>
      <c r="J15" s="8"/>
      <c r="K15" s="8">
        <f t="shared" si="2"/>
        <v>48</v>
      </c>
      <c r="L15" s="8">
        <f t="shared" si="7"/>
        <v>48</v>
      </c>
      <c r="M15" s="8">
        <v>10</v>
      </c>
      <c r="N15" s="8">
        <v>4</v>
      </c>
      <c r="O15" s="8"/>
      <c r="P15" s="8"/>
      <c r="Q15" s="8">
        <v>2</v>
      </c>
      <c r="R15" s="112">
        <f t="shared" si="3"/>
        <v>16</v>
      </c>
      <c r="S15" s="8">
        <v>11</v>
      </c>
      <c r="T15" s="8">
        <v>9</v>
      </c>
      <c r="U15" s="8"/>
      <c r="V15" s="8"/>
      <c r="W15" s="8"/>
      <c r="X15" s="8"/>
      <c r="Y15" s="8">
        <v>2</v>
      </c>
      <c r="Z15" s="8"/>
      <c r="AA15" s="8">
        <v>2</v>
      </c>
      <c r="AB15" s="8"/>
      <c r="AC15" s="8"/>
      <c r="AD15" s="112">
        <f t="shared" si="8"/>
        <v>24</v>
      </c>
      <c r="AE15" s="8"/>
      <c r="AF15" s="8"/>
      <c r="AG15" s="112">
        <f t="shared" si="9"/>
        <v>40</v>
      </c>
      <c r="AH15" s="8"/>
      <c r="AI15" s="8"/>
      <c r="AJ15" s="8"/>
      <c r="AK15" s="8">
        <v>12</v>
      </c>
      <c r="AL15" s="8"/>
      <c r="AM15" s="8"/>
      <c r="AN15" s="8"/>
      <c r="AO15" s="112">
        <f t="shared" si="4"/>
        <v>12</v>
      </c>
      <c r="AP15" s="8">
        <f t="shared" si="10"/>
        <v>48</v>
      </c>
      <c r="AQ15" s="8">
        <f t="shared" si="11"/>
        <v>4</v>
      </c>
      <c r="AR15" s="113">
        <f t="shared" si="5"/>
        <v>52</v>
      </c>
    </row>
    <row r="16" spans="1:44" ht="20.100000000000001" customHeight="1" x14ac:dyDescent="0.3">
      <c r="A16" s="104" t="s">
        <v>44</v>
      </c>
      <c r="B16" s="4" t="s">
        <v>48</v>
      </c>
      <c r="C16" s="107">
        <v>61</v>
      </c>
      <c r="D16" s="108">
        <v>61</v>
      </c>
      <c r="E16" s="107">
        <f t="shared" si="1"/>
        <v>0</v>
      </c>
      <c r="F16" s="109"/>
      <c r="G16" s="84"/>
      <c r="H16" s="85"/>
      <c r="I16" s="85"/>
      <c r="J16" s="8"/>
      <c r="K16" s="8">
        <f t="shared" si="2"/>
        <v>61</v>
      </c>
      <c r="L16" s="8">
        <f t="shared" si="7"/>
        <v>61</v>
      </c>
      <c r="M16" s="8">
        <v>15</v>
      </c>
      <c r="N16" s="8">
        <v>7</v>
      </c>
      <c r="O16" s="8"/>
      <c r="P16" s="8"/>
      <c r="Q16" s="8">
        <v>2</v>
      </c>
      <c r="R16" s="112">
        <f t="shared" si="3"/>
        <v>24</v>
      </c>
      <c r="S16" s="8">
        <v>15</v>
      </c>
      <c r="T16" s="8">
        <v>12</v>
      </c>
      <c r="U16" s="8"/>
      <c r="V16" s="8"/>
      <c r="W16" s="8">
        <v>2</v>
      </c>
      <c r="X16" s="8"/>
      <c r="Y16" s="8">
        <v>2</v>
      </c>
      <c r="Z16" s="8"/>
      <c r="AA16" s="8">
        <v>3</v>
      </c>
      <c r="AB16" s="8"/>
      <c r="AC16" s="8"/>
      <c r="AD16" s="112">
        <f t="shared" si="8"/>
        <v>34</v>
      </c>
      <c r="AE16" s="8"/>
      <c r="AF16" s="8"/>
      <c r="AG16" s="112">
        <f t="shared" si="9"/>
        <v>58</v>
      </c>
      <c r="AH16" s="8"/>
      <c r="AI16" s="8"/>
      <c r="AJ16" s="8"/>
      <c r="AK16" s="8">
        <v>8</v>
      </c>
      <c r="AL16" s="8"/>
      <c r="AM16" s="8"/>
      <c r="AN16" s="8"/>
      <c r="AO16" s="112">
        <f t="shared" si="4"/>
        <v>8</v>
      </c>
      <c r="AP16" s="8">
        <f t="shared" si="10"/>
        <v>61</v>
      </c>
      <c r="AQ16" s="8">
        <f t="shared" si="11"/>
        <v>5</v>
      </c>
      <c r="AR16" s="113">
        <f t="shared" si="5"/>
        <v>66</v>
      </c>
    </row>
    <row r="17" spans="1:44" ht="20.100000000000001" customHeight="1" x14ac:dyDescent="0.3">
      <c r="A17" s="104" t="s">
        <v>44</v>
      </c>
      <c r="B17" s="4" t="s">
        <v>49</v>
      </c>
      <c r="C17" s="107">
        <v>26</v>
      </c>
      <c r="D17" s="108">
        <v>26</v>
      </c>
      <c r="E17" s="107">
        <f t="shared" si="1"/>
        <v>0</v>
      </c>
      <c r="F17" s="109"/>
      <c r="G17" s="84"/>
      <c r="H17" s="85"/>
      <c r="I17" s="85"/>
      <c r="J17" s="8"/>
      <c r="K17" s="8">
        <f t="shared" si="2"/>
        <v>26</v>
      </c>
      <c r="L17" s="8">
        <f t="shared" si="7"/>
        <v>26</v>
      </c>
      <c r="M17" s="8">
        <v>6</v>
      </c>
      <c r="N17" s="8">
        <v>3</v>
      </c>
      <c r="O17" s="8"/>
      <c r="P17" s="8"/>
      <c r="Q17" s="8">
        <v>1</v>
      </c>
      <c r="R17" s="112">
        <f t="shared" si="3"/>
        <v>10</v>
      </c>
      <c r="S17" s="8">
        <v>7</v>
      </c>
      <c r="T17" s="8">
        <v>4</v>
      </c>
      <c r="U17" s="8"/>
      <c r="V17" s="8"/>
      <c r="W17" s="8"/>
      <c r="X17" s="8"/>
      <c r="Y17" s="8">
        <v>2</v>
      </c>
      <c r="Z17" s="8"/>
      <c r="AA17" s="8">
        <v>3</v>
      </c>
      <c r="AB17" s="8"/>
      <c r="AC17" s="8"/>
      <c r="AD17" s="112">
        <f t="shared" si="8"/>
        <v>16</v>
      </c>
      <c r="AE17" s="8"/>
      <c r="AF17" s="8"/>
      <c r="AG17" s="112">
        <f t="shared" si="9"/>
        <v>26</v>
      </c>
      <c r="AH17" s="8"/>
      <c r="AI17" s="8"/>
      <c r="AJ17" s="8"/>
      <c r="AK17" s="8">
        <v>5</v>
      </c>
      <c r="AL17" s="8"/>
      <c r="AM17" s="8"/>
      <c r="AN17" s="8"/>
      <c r="AO17" s="112">
        <f t="shared" si="4"/>
        <v>5</v>
      </c>
      <c r="AP17" s="8">
        <f t="shared" si="10"/>
        <v>26</v>
      </c>
      <c r="AQ17" s="8">
        <f t="shared" si="11"/>
        <v>5</v>
      </c>
      <c r="AR17" s="113">
        <f t="shared" si="5"/>
        <v>31</v>
      </c>
    </row>
    <row r="18" spans="1:44" ht="20.100000000000001" customHeight="1" x14ac:dyDescent="0.3">
      <c r="A18" s="104" t="s">
        <v>44</v>
      </c>
      <c r="B18" s="4" t="s">
        <v>50</v>
      </c>
      <c r="C18" s="107">
        <v>61</v>
      </c>
      <c r="D18" s="108">
        <v>61</v>
      </c>
      <c r="E18" s="107">
        <f t="shared" si="1"/>
        <v>0</v>
      </c>
      <c r="F18" s="109"/>
      <c r="G18" s="84"/>
      <c r="H18" s="85"/>
      <c r="I18" s="85"/>
      <c r="J18" s="8"/>
      <c r="K18" s="8">
        <f t="shared" si="2"/>
        <v>61</v>
      </c>
      <c r="L18" s="8">
        <f t="shared" si="7"/>
        <v>61</v>
      </c>
      <c r="M18" s="8">
        <v>12</v>
      </c>
      <c r="N18" s="8">
        <v>8</v>
      </c>
      <c r="O18" s="8"/>
      <c r="P18" s="8"/>
      <c r="Q18" s="8">
        <v>3</v>
      </c>
      <c r="R18" s="112">
        <f t="shared" si="3"/>
        <v>23</v>
      </c>
      <c r="S18" s="8">
        <v>18</v>
      </c>
      <c r="T18" s="8">
        <v>9</v>
      </c>
      <c r="U18" s="8"/>
      <c r="V18" s="8"/>
      <c r="W18" s="8">
        <v>3</v>
      </c>
      <c r="X18" s="8"/>
      <c r="Y18" s="8">
        <v>2</v>
      </c>
      <c r="Z18" s="8"/>
      <c r="AA18" s="8"/>
      <c r="AB18" s="8"/>
      <c r="AC18" s="8"/>
      <c r="AD18" s="112">
        <f t="shared" si="8"/>
        <v>32</v>
      </c>
      <c r="AE18" s="8"/>
      <c r="AF18" s="8"/>
      <c r="AG18" s="112">
        <f t="shared" si="9"/>
        <v>55</v>
      </c>
      <c r="AH18" s="8"/>
      <c r="AI18" s="8"/>
      <c r="AJ18" s="8"/>
      <c r="AK18" s="8">
        <v>8</v>
      </c>
      <c r="AL18" s="8"/>
      <c r="AM18" s="8"/>
      <c r="AN18" s="8"/>
      <c r="AO18" s="112">
        <f t="shared" si="4"/>
        <v>8</v>
      </c>
      <c r="AP18" s="8">
        <f t="shared" si="10"/>
        <v>61</v>
      </c>
      <c r="AQ18" s="8">
        <f t="shared" si="11"/>
        <v>2</v>
      </c>
      <c r="AR18" s="113">
        <f t="shared" si="5"/>
        <v>63</v>
      </c>
    </row>
    <row r="19" spans="1:44" ht="20.100000000000001" customHeight="1" x14ac:dyDescent="0.3">
      <c r="A19" s="105" t="s">
        <v>36</v>
      </c>
      <c r="B19" s="7" t="s">
        <v>125</v>
      </c>
      <c r="C19" s="114">
        <f>SUM(C13:C18)</f>
        <v>258</v>
      </c>
      <c r="D19" s="115">
        <f t="shared" ref="D19:AR19" si="12">SUM(D13:D18)</f>
        <v>260</v>
      </c>
      <c r="E19" s="114">
        <f t="shared" si="12"/>
        <v>2</v>
      </c>
      <c r="F19" s="114">
        <f t="shared" si="12"/>
        <v>0</v>
      </c>
      <c r="G19" s="114">
        <f t="shared" si="12"/>
        <v>0</v>
      </c>
      <c r="H19" s="116">
        <f t="shared" si="12"/>
        <v>0</v>
      </c>
      <c r="I19" s="116">
        <f t="shared" si="12"/>
        <v>0</v>
      </c>
      <c r="J19" s="114">
        <f t="shared" si="12"/>
        <v>0</v>
      </c>
      <c r="K19" s="114">
        <f t="shared" si="12"/>
        <v>260</v>
      </c>
      <c r="L19" s="114">
        <f t="shared" si="12"/>
        <v>260</v>
      </c>
      <c r="M19" s="114">
        <f t="shared" si="12"/>
        <v>55</v>
      </c>
      <c r="N19" s="114">
        <f t="shared" si="12"/>
        <v>30</v>
      </c>
      <c r="O19" s="114">
        <f t="shared" si="12"/>
        <v>0</v>
      </c>
      <c r="P19" s="114">
        <f t="shared" si="12"/>
        <v>0</v>
      </c>
      <c r="Q19" s="114">
        <f t="shared" si="12"/>
        <v>10</v>
      </c>
      <c r="R19" s="114">
        <f t="shared" si="12"/>
        <v>95</v>
      </c>
      <c r="S19" s="114">
        <f t="shared" si="12"/>
        <v>63</v>
      </c>
      <c r="T19" s="114">
        <f t="shared" si="12"/>
        <v>46</v>
      </c>
      <c r="U19" s="114">
        <f t="shared" si="12"/>
        <v>6</v>
      </c>
      <c r="V19" s="114">
        <f t="shared" si="12"/>
        <v>0</v>
      </c>
      <c r="W19" s="114">
        <f t="shared" si="12"/>
        <v>7</v>
      </c>
      <c r="X19" s="114">
        <f t="shared" si="12"/>
        <v>0</v>
      </c>
      <c r="Y19" s="114">
        <f t="shared" si="12"/>
        <v>10</v>
      </c>
      <c r="Z19" s="114">
        <f t="shared" si="12"/>
        <v>0</v>
      </c>
      <c r="AA19" s="114">
        <f t="shared" si="12"/>
        <v>11</v>
      </c>
      <c r="AB19" s="114">
        <f t="shared" si="12"/>
        <v>0</v>
      </c>
      <c r="AC19" s="114">
        <f t="shared" si="12"/>
        <v>6</v>
      </c>
      <c r="AD19" s="114">
        <f t="shared" si="12"/>
        <v>149</v>
      </c>
      <c r="AE19" s="114">
        <f t="shared" si="12"/>
        <v>0</v>
      </c>
      <c r="AF19" s="114">
        <f t="shared" si="12"/>
        <v>0</v>
      </c>
      <c r="AG19" s="114">
        <f t="shared" si="12"/>
        <v>244</v>
      </c>
      <c r="AH19" s="114">
        <f t="shared" si="12"/>
        <v>0</v>
      </c>
      <c r="AI19" s="114">
        <f t="shared" si="12"/>
        <v>0</v>
      </c>
      <c r="AJ19" s="114">
        <f t="shared" si="12"/>
        <v>0</v>
      </c>
      <c r="AK19" s="114">
        <f t="shared" si="12"/>
        <v>43</v>
      </c>
      <c r="AL19" s="114">
        <f t="shared" si="12"/>
        <v>0</v>
      </c>
      <c r="AM19" s="114">
        <f t="shared" si="12"/>
        <v>0</v>
      </c>
      <c r="AN19" s="114">
        <f t="shared" si="12"/>
        <v>9</v>
      </c>
      <c r="AO19" s="114">
        <f t="shared" si="12"/>
        <v>52</v>
      </c>
      <c r="AP19" s="114">
        <f t="shared" si="12"/>
        <v>260</v>
      </c>
      <c r="AQ19" s="114">
        <f t="shared" si="12"/>
        <v>36</v>
      </c>
      <c r="AR19" s="117">
        <f t="shared" si="12"/>
        <v>296</v>
      </c>
    </row>
    <row r="20" spans="1:44" ht="20.100000000000001" customHeight="1" x14ac:dyDescent="0.3">
      <c r="A20" s="104" t="s">
        <v>51</v>
      </c>
      <c r="B20" s="4" t="s">
        <v>52</v>
      </c>
      <c r="C20" s="107">
        <v>35</v>
      </c>
      <c r="D20" s="108">
        <v>35</v>
      </c>
      <c r="E20" s="107">
        <f t="shared" si="1"/>
        <v>0</v>
      </c>
      <c r="F20" s="109"/>
      <c r="G20" s="84"/>
      <c r="H20" s="85"/>
      <c r="I20" s="85"/>
      <c r="J20" s="8"/>
      <c r="K20" s="8">
        <f t="shared" si="2"/>
        <v>35</v>
      </c>
      <c r="L20" s="8">
        <f>SUM(M20:Q20)+SUM(S20:X20)+SUM(AE20:AF20)+SUM(AH20:AM20)</f>
        <v>35</v>
      </c>
      <c r="M20" s="8">
        <v>7</v>
      </c>
      <c r="N20" s="8">
        <v>4</v>
      </c>
      <c r="O20" s="8"/>
      <c r="P20" s="8"/>
      <c r="Q20" s="8">
        <v>1</v>
      </c>
      <c r="R20" s="112">
        <f t="shared" si="3"/>
        <v>12</v>
      </c>
      <c r="S20" s="8">
        <v>8</v>
      </c>
      <c r="T20" s="8">
        <v>6</v>
      </c>
      <c r="U20" s="8"/>
      <c r="V20" s="8"/>
      <c r="W20" s="8">
        <v>1</v>
      </c>
      <c r="X20" s="8"/>
      <c r="Y20" s="8">
        <v>2</v>
      </c>
      <c r="Z20" s="8"/>
      <c r="AA20" s="8">
        <v>2</v>
      </c>
      <c r="AB20" s="8"/>
      <c r="AC20" s="8"/>
      <c r="AD20" s="112">
        <f>SUM(S20:AC20)</f>
        <v>19</v>
      </c>
      <c r="AE20" s="8"/>
      <c r="AF20" s="8"/>
      <c r="AG20" s="112">
        <f>SUM(M20:Q20)+SUM(S20:AC20)+SUM(AE20:AF20)</f>
        <v>31</v>
      </c>
      <c r="AH20" s="8">
        <v>8</v>
      </c>
      <c r="AI20" s="8"/>
      <c r="AJ20" s="8"/>
      <c r="AK20" s="8"/>
      <c r="AL20" s="8"/>
      <c r="AM20" s="8"/>
      <c r="AN20" s="8"/>
      <c r="AO20" s="112">
        <f t="shared" si="4"/>
        <v>8</v>
      </c>
      <c r="AP20" s="8">
        <f>SUM(M20:Q20)+SUM(S20:X20)+SUM(AE20:AF20)+SUM(AH20:AM20)</f>
        <v>35</v>
      </c>
      <c r="AQ20" s="8">
        <f>SUM(Y20:AC20)+AN20</f>
        <v>4</v>
      </c>
      <c r="AR20" s="113">
        <f t="shared" si="5"/>
        <v>39</v>
      </c>
    </row>
    <row r="21" spans="1:44" ht="20.100000000000001" customHeight="1" x14ac:dyDescent="0.3">
      <c r="A21" s="104" t="s">
        <v>51</v>
      </c>
      <c r="B21" s="4" t="s">
        <v>53</v>
      </c>
      <c r="C21" s="107">
        <v>41</v>
      </c>
      <c r="D21" s="108">
        <v>41</v>
      </c>
      <c r="E21" s="107">
        <f t="shared" si="1"/>
        <v>0</v>
      </c>
      <c r="F21" s="109"/>
      <c r="G21" s="84"/>
      <c r="H21" s="85"/>
      <c r="I21" s="85"/>
      <c r="J21" s="8"/>
      <c r="K21" s="8">
        <f t="shared" si="2"/>
        <v>41</v>
      </c>
      <c r="L21" s="8">
        <f>SUM(M21:Q21)+SUM(S21:X21)+SUM(AE21:AF21)+SUM(AH21:AM21)</f>
        <v>41</v>
      </c>
      <c r="M21" s="8">
        <v>9</v>
      </c>
      <c r="N21" s="8">
        <v>4</v>
      </c>
      <c r="O21" s="8"/>
      <c r="P21" s="8"/>
      <c r="Q21" s="8">
        <v>2</v>
      </c>
      <c r="R21" s="112">
        <f t="shared" si="3"/>
        <v>15</v>
      </c>
      <c r="S21" s="8">
        <v>10</v>
      </c>
      <c r="T21" s="8">
        <v>6</v>
      </c>
      <c r="U21" s="8"/>
      <c r="V21" s="8"/>
      <c r="W21" s="8">
        <v>2</v>
      </c>
      <c r="X21" s="8"/>
      <c r="Y21" s="8">
        <v>2</v>
      </c>
      <c r="Z21" s="8"/>
      <c r="AA21" s="8">
        <v>2</v>
      </c>
      <c r="AB21" s="8"/>
      <c r="AC21" s="8"/>
      <c r="AD21" s="112">
        <f>SUM(S21:AC21)</f>
        <v>22</v>
      </c>
      <c r="AE21" s="8"/>
      <c r="AF21" s="8"/>
      <c r="AG21" s="112">
        <f>SUM(M21:Q21)+SUM(S21:AC21)+SUM(AE21:AF21)</f>
        <v>37</v>
      </c>
      <c r="AH21" s="8">
        <v>8</v>
      </c>
      <c r="AI21" s="8"/>
      <c r="AJ21" s="8"/>
      <c r="AK21" s="8"/>
      <c r="AL21" s="8"/>
      <c r="AM21" s="8"/>
      <c r="AN21" s="8"/>
      <c r="AO21" s="112">
        <f t="shared" si="4"/>
        <v>8</v>
      </c>
      <c r="AP21" s="8">
        <f>SUM(M21:Q21)+SUM(S21:X21)+SUM(AE21:AF21)+SUM(AH21:AM21)</f>
        <v>41</v>
      </c>
      <c r="AQ21" s="8">
        <f>SUM(Y21:AC21)+AN21</f>
        <v>4</v>
      </c>
      <c r="AR21" s="113">
        <f t="shared" si="5"/>
        <v>45</v>
      </c>
    </row>
    <row r="22" spans="1:44" ht="20.100000000000001" customHeight="1" x14ac:dyDescent="0.3">
      <c r="A22" s="104" t="s">
        <v>51</v>
      </c>
      <c r="B22" s="4" t="s">
        <v>54</v>
      </c>
      <c r="C22" s="107">
        <v>47</v>
      </c>
      <c r="D22" s="108">
        <v>47</v>
      </c>
      <c r="E22" s="107">
        <f t="shared" si="1"/>
        <v>0</v>
      </c>
      <c r="F22" s="109"/>
      <c r="G22" s="84"/>
      <c r="H22" s="85"/>
      <c r="I22" s="85"/>
      <c r="J22" s="8"/>
      <c r="K22" s="8">
        <f t="shared" si="2"/>
        <v>47</v>
      </c>
      <c r="L22" s="8">
        <f>SUM(M22:Q22)+SUM(S22:X22)+SUM(AE22:AF22)+SUM(AH22:AM22)</f>
        <v>47</v>
      </c>
      <c r="M22" s="8">
        <v>10</v>
      </c>
      <c r="N22" s="8">
        <v>5</v>
      </c>
      <c r="O22" s="8"/>
      <c r="P22" s="8"/>
      <c r="Q22" s="8">
        <v>2</v>
      </c>
      <c r="R22" s="112">
        <f t="shared" si="3"/>
        <v>17</v>
      </c>
      <c r="S22" s="8">
        <v>11</v>
      </c>
      <c r="T22" s="8">
        <v>6</v>
      </c>
      <c r="U22" s="8"/>
      <c r="V22" s="8"/>
      <c r="W22" s="8">
        <v>2</v>
      </c>
      <c r="X22" s="8"/>
      <c r="Y22" s="8">
        <v>2</v>
      </c>
      <c r="Z22" s="8"/>
      <c r="AA22" s="8">
        <v>2</v>
      </c>
      <c r="AB22" s="8"/>
      <c r="AC22" s="8"/>
      <c r="AD22" s="112">
        <f>SUM(S22:AC22)</f>
        <v>23</v>
      </c>
      <c r="AE22" s="8"/>
      <c r="AF22" s="8"/>
      <c r="AG22" s="112">
        <f>SUM(M22:Q22)+SUM(S22:AC22)+SUM(AE22:AF22)</f>
        <v>40</v>
      </c>
      <c r="AH22" s="8">
        <v>11</v>
      </c>
      <c r="AI22" s="8"/>
      <c r="AJ22" s="8"/>
      <c r="AK22" s="8"/>
      <c r="AL22" s="8"/>
      <c r="AM22" s="8"/>
      <c r="AN22" s="8"/>
      <c r="AO22" s="112">
        <f t="shared" si="4"/>
        <v>11</v>
      </c>
      <c r="AP22" s="8">
        <f>SUM(M22:Q22)+SUM(S22:X22)+SUM(AE22:AF22)+SUM(AH22:AM22)</f>
        <v>47</v>
      </c>
      <c r="AQ22" s="8">
        <f>SUM(Y22:AC22)+AN22</f>
        <v>4</v>
      </c>
      <c r="AR22" s="113">
        <f t="shared" si="5"/>
        <v>51</v>
      </c>
    </row>
    <row r="23" spans="1:44" ht="20.100000000000001" customHeight="1" x14ac:dyDescent="0.3">
      <c r="A23" s="105" t="s">
        <v>36</v>
      </c>
      <c r="B23" s="7" t="s">
        <v>126</v>
      </c>
      <c r="C23" s="114">
        <f>SUM(C20:C22)</f>
        <v>123</v>
      </c>
      <c r="D23" s="115">
        <f t="shared" ref="D23:AR23" si="13">SUM(D20:D22)</f>
        <v>123</v>
      </c>
      <c r="E23" s="114">
        <f t="shared" si="13"/>
        <v>0</v>
      </c>
      <c r="F23" s="114">
        <f t="shared" si="13"/>
        <v>0</v>
      </c>
      <c r="G23" s="114">
        <f t="shared" si="13"/>
        <v>0</v>
      </c>
      <c r="H23" s="116">
        <f t="shared" si="13"/>
        <v>0</v>
      </c>
      <c r="I23" s="116">
        <f t="shared" si="13"/>
        <v>0</v>
      </c>
      <c r="J23" s="114">
        <f t="shared" si="13"/>
        <v>0</v>
      </c>
      <c r="K23" s="114">
        <f t="shared" si="13"/>
        <v>123</v>
      </c>
      <c r="L23" s="114">
        <f t="shared" si="13"/>
        <v>123</v>
      </c>
      <c r="M23" s="114">
        <f t="shared" si="13"/>
        <v>26</v>
      </c>
      <c r="N23" s="114">
        <f t="shared" si="13"/>
        <v>13</v>
      </c>
      <c r="O23" s="114">
        <f t="shared" si="13"/>
        <v>0</v>
      </c>
      <c r="P23" s="114">
        <f t="shared" si="13"/>
        <v>0</v>
      </c>
      <c r="Q23" s="114">
        <f t="shared" si="13"/>
        <v>5</v>
      </c>
      <c r="R23" s="114">
        <f t="shared" si="13"/>
        <v>44</v>
      </c>
      <c r="S23" s="114">
        <f t="shared" si="13"/>
        <v>29</v>
      </c>
      <c r="T23" s="114">
        <f t="shared" si="13"/>
        <v>18</v>
      </c>
      <c r="U23" s="114">
        <f t="shared" si="13"/>
        <v>0</v>
      </c>
      <c r="V23" s="114">
        <f t="shared" si="13"/>
        <v>0</v>
      </c>
      <c r="W23" s="114">
        <f t="shared" si="13"/>
        <v>5</v>
      </c>
      <c r="X23" s="114">
        <f t="shared" si="13"/>
        <v>0</v>
      </c>
      <c r="Y23" s="114">
        <f t="shared" si="13"/>
        <v>6</v>
      </c>
      <c r="Z23" s="114">
        <f t="shared" si="13"/>
        <v>0</v>
      </c>
      <c r="AA23" s="114">
        <f t="shared" si="13"/>
        <v>6</v>
      </c>
      <c r="AB23" s="114">
        <f t="shared" si="13"/>
        <v>0</v>
      </c>
      <c r="AC23" s="114">
        <f t="shared" si="13"/>
        <v>0</v>
      </c>
      <c r="AD23" s="114">
        <f t="shared" si="13"/>
        <v>64</v>
      </c>
      <c r="AE23" s="114">
        <f t="shared" si="13"/>
        <v>0</v>
      </c>
      <c r="AF23" s="114">
        <f t="shared" si="13"/>
        <v>0</v>
      </c>
      <c r="AG23" s="114">
        <f t="shared" si="13"/>
        <v>108</v>
      </c>
      <c r="AH23" s="114">
        <f t="shared" si="13"/>
        <v>27</v>
      </c>
      <c r="AI23" s="114">
        <f t="shared" si="13"/>
        <v>0</v>
      </c>
      <c r="AJ23" s="114">
        <f t="shared" si="13"/>
        <v>0</v>
      </c>
      <c r="AK23" s="114">
        <f t="shared" si="13"/>
        <v>0</v>
      </c>
      <c r="AL23" s="114">
        <f t="shared" si="13"/>
        <v>0</v>
      </c>
      <c r="AM23" s="114">
        <f t="shared" si="13"/>
        <v>0</v>
      </c>
      <c r="AN23" s="114">
        <f t="shared" si="13"/>
        <v>0</v>
      </c>
      <c r="AO23" s="114">
        <f t="shared" si="13"/>
        <v>27</v>
      </c>
      <c r="AP23" s="114">
        <f t="shared" si="13"/>
        <v>123</v>
      </c>
      <c r="AQ23" s="114">
        <f t="shared" si="13"/>
        <v>12</v>
      </c>
      <c r="AR23" s="117">
        <f t="shared" si="13"/>
        <v>135</v>
      </c>
    </row>
    <row r="24" spans="1:44" ht="20.100000000000001" customHeight="1" x14ac:dyDescent="0.3">
      <c r="A24" s="104" t="s">
        <v>127</v>
      </c>
      <c r="B24" s="4" t="s">
        <v>56</v>
      </c>
      <c r="C24" s="107">
        <v>24</v>
      </c>
      <c r="D24" s="108">
        <v>24</v>
      </c>
      <c r="E24" s="107">
        <f t="shared" si="1"/>
        <v>0</v>
      </c>
      <c r="F24" s="109"/>
      <c r="G24" s="84"/>
      <c r="H24" s="85"/>
      <c r="I24" s="85"/>
      <c r="J24" s="8"/>
      <c r="K24" s="8">
        <f t="shared" si="2"/>
        <v>24</v>
      </c>
      <c r="L24" s="8">
        <f t="shared" ref="L24:L35" si="14">SUM(M24:Q24)+SUM(S24:X24)+SUM(AE24:AF24)+SUM(AH24:AM24)</f>
        <v>24</v>
      </c>
      <c r="M24" s="8">
        <v>5</v>
      </c>
      <c r="N24" s="8">
        <v>3</v>
      </c>
      <c r="O24" s="8"/>
      <c r="P24" s="8"/>
      <c r="Q24" s="8">
        <v>2</v>
      </c>
      <c r="R24" s="112">
        <f t="shared" si="3"/>
        <v>10</v>
      </c>
      <c r="S24" s="8">
        <v>4</v>
      </c>
      <c r="T24" s="8">
        <v>4</v>
      </c>
      <c r="U24" s="8"/>
      <c r="V24" s="8"/>
      <c r="W24" s="8"/>
      <c r="X24" s="8"/>
      <c r="Y24" s="8">
        <v>2</v>
      </c>
      <c r="Z24" s="8"/>
      <c r="AA24" s="8"/>
      <c r="AB24" s="8" t="s">
        <v>39</v>
      </c>
      <c r="AC24" s="8"/>
      <c r="AD24" s="112">
        <f t="shared" ref="AD24:AD35" si="15">SUM(S24:AC24)</f>
        <v>10</v>
      </c>
      <c r="AE24" s="8"/>
      <c r="AF24" s="8"/>
      <c r="AG24" s="112">
        <f t="shared" ref="AG24:AG35" si="16">SUM(M24:Q24)+SUM(S24:AC24)+SUM(AE24:AF24)</f>
        <v>20</v>
      </c>
      <c r="AH24" s="8">
        <v>6</v>
      </c>
      <c r="AI24" s="8"/>
      <c r="AJ24" s="8"/>
      <c r="AK24" s="8"/>
      <c r="AL24" s="8"/>
      <c r="AM24" s="8"/>
      <c r="AN24" s="8"/>
      <c r="AO24" s="112">
        <f t="shared" si="4"/>
        <v>6</v>
      </c>
      <c r="AP24" s="8">
        <f t="shared" ref="AP24:AP35" si="17">SUM(M24:Q24)+SUM(S24:X24)+SUM(AE24:AF24)+SUM(AH24:AM24)</f>
        <v>24</v>
      </c>
      <c r="AQ24" s="8">
        <f t="shared" ref="AQ24:AQ35" si="18">SUM(Y24:AC24)+AN24</f>
        <v>2</v>
      </c>
      <c r="AR24" s="113">
        <f t="shared" si="5"/>
        <v>26</v>
      </c>
    </row>
    <row r="25" spans="1:44" ht="20.100000000000001" customHeight="1" x14ac:dyDescent="0.3">
      <c r="A25" s="104" t="s">
        <v>55</v>
      </c>
      <c r="B25" s="4" t="s">
        <v>57</v>
      </c>
      <c r="C25" s="107">
        <v>111</v>
      </c>
      <c r="D25" s="108">
        <v>112</v>
      </c>
      <c r="E25" s="121">
        <f t="shared" si="1"/>
        <v>1</v>
      </c>
      <c r="F25" s="109" t="s">
        <v>174</v>
      </c>
      <c r="G25" s="106" t="s">
        <v>189</v>
      </c>
      <c r="H25" s="110" t="s">
        <v>183</v>
      </c>
      <c r="I25" s="97"/>
      <c r="J25" s="8"/>
      <c r="K25" s="8">
        <f t="shared" si="2"/>
        <v>112</v>
      </c>
      <c r="L25" s="8">
        <f t="shared" si="14"/>
        <v>112</v>
      </c>
      <c r="M25" s="8">
        <v>16</v>
      </c>
      <c r="N25" s="8">
        <v>8</v>
      </c>
      <c r="O25" s="8"/>
      <c r="P25" s="8"/>
      <c r="Q25" s="8">
        <v>3</v>
      </c>
      <c r="R25" s="112">
        <f t="shared" si="3"/>
        <v>27</v>
      </c>
      <c r="S25" s="8">
        <v>32</v>
      </c>
      <c r="T25" s="8">
        <v>20</v>
      </c>
      <c r="U25" s="8"/>
      <c r="V25" s="8"/>
      <c r="W25" s="8">
        <v>5</v>
      </c>
      <c r="X25" s="8"/>
      <c r="Y25" s="8">
        <v>4</v>
      </c>
      <c r="Z25" s="8"/>
      <c r="AA25" s="8">
        <v>3</v>
      </c>
      <c r="AB25" s="8" t="s">
        <v>39</v>
      </c>
      <c r="AC25" s="8"/>
      <c r="AD25" s="112">
        <f t="shared" si="15"/>
        <v>64</v>
      </c>
      <c r="AE25" s="8"/>
      <c r="AF25" s="8"/>
      <c r="AG25" s="112">
        <f t="shared" si="16"/>
        <v>91</v>
      </c>
      <c r="AH25" s="8">
        <v>28</v>
      </c>
      <c r="AI25" s="8"/>
      <c r="AJ25" s="8"/>
      <c r="AK25" s="8"/>
      <c r="AL25" s="8"/>
      <c r="AM25" s="8"/>
      <c r="AN25" s="8"/>
      <c r="AO25" s="112">
        <f t="shared" si="4"/>
        <v>28</v>
      </c>
      <c r="AP25" s="8">
        <f t="shared" si="17"/>
        <v>112</v>
      </c>
      <c r="AQ25" s="8">
        <f t="shared" si="18"/>
        <v>7</v>
      </c>
      <c r="AR25" s="113">
        <f t="shared" si="5"/>
        <v>119</v>
      </c>
    </row>
    <row r="26" spans="1:44" ht="20.100000000000001" customHeight="1" x14ac:dyDescent="0.3">
      <c r="A26" s="104" t="s">
        <v>55</v>
      </c>
      <c r="B26" s="6" t="s">
        <v>141</v>
      </c>
      <c r="C26" s="122">
        <v>100</v>
      </c>
      <c r="D26" s="108">
        <v>100</v>
      </c>
      <c r="E26" s="107">
        <f t="shared" si="1"/>
        <v>0</v>
      </c>
      <c r="F26" s="109"/>
      <c r="G26" s="84"/>
      <c r="H26" s="85"/>
      <c r="I26" s="85"/>
      <c r="J26" s="8"/>
      <c r="K26" s="8">
        <f t="shared" si="2"/>
        <v>100</v>
      </c>
      <c r="L26" s="8">
        <f t="shared" si="14"/>
        <v>100</v>
      </c>
      <c r="M26" s="8">
        <v>18</v>
      </c>
      <c r="N26" s="8">
        <v>8</v>
      </c>
      <c r="O26" s="8"/>
      <c r="P26" s="8"/>
      <c r="Q26" s="8">
        <v>3</v>
      </c>
      <c r="R26" s="112">
        <f t="shared" si="3"/>
        <v>29</v>
      </c>
      <c r="S26" s="8">
        <v>25</v>
      </c>
      <c r="T26" s="8">
        <v>17</v>
      </c>
      <c r="U26" s="8"/>
      <c r="V26" s="8"/>
      <c r="W26" s="8">
        <v>4</v>
      </c>
      <c r="X26" s="8"/>
      <c r="Y26" s="8">
        <v>5</v>
      </c>
      <c r="Z26" s="8"/>
      <c r="AA26" s="8">
        <v>2</v>
      </c>
      <c r="AB26" s="8" t="s">
        <v>39</v>
      </c>
      <c r="AC26" s="8"/>
      <c r="AD26" s="112">
        <f t="shared" si="15"/>
        <v>53</v>
      </c>
      <c r="AE26" s="8"/>
      <c r="AF26" s="8"/>
      <c r="AG26" s="112">
        <f t="shared" si="16"/>
        <v>82</v>
      </c>
      <c r="AH26" s="8">
        <v>25</v>
      </c>
      <c r="AI26" s="8"/>
      <c r="AJ26" s="8"/>
      <c r="AK26" s="8"/>
      <c r="AL26" s="8"/>
      <c r="AM26" s="8"/>
      <c r="AN26" s="8"/>
      <c r="AO26" s="112">
        <f t="shared" si="4"/>
        <v>25</v>
      </c>
      <c r="AP26" s="8">
        <f t="shared" si="17"/>
        <v>100</v>
      </c>
      <c r="AQ26" s="8">
        <f t="shared" si="18"/>
        <v>7</v>
      </c>
      <c r="AR26" s="113">
        <f t="shared" si="5"/>
        <v>107</v>
      </c>
    </row>
    <row r="27" spans="1:44" ht="20.100000000000001" customHeight="1" x14ac:dyDescent="0.3">
      <c r="A27" s="104" t="s">
        <v>55</v>
      </c>
      <c r="B27" s="4" t="s">
        <v>58</v>
      </c>
      <c r="C27" s="107">
        <v>40</v>
      </c>
      <c r="D27" s="108">
        <v>40</v>
      </c>
      <c r="E27" s="107">
        <f t="shared" si="1"/>
        <v>0</v>
      </c>
      <c r="F27" s="109"/>
      <c r="G27" s="84"/>
      <c r="H27" s="85"/>
      <c r="I27" s="85"/>
      <c r="J27" s="8"/>
      <c r="K27" s="8">
        <f t="shared" si="2"/>
        <v>40</v>
      </c>
      <c r="L27" s="8">
        <f t="shared" si="14"/>
        <v>40</v>
      </c>
      <c r="M27" s="8">
        <v>8</v>
      </c>
      <c r="N27" s="8">
        <v>4</v>
      </c>
      <c r="O27" s="8"/>
      <c r="P27" s="8"/>
      <c r="Q27" s="8">
        <v>2</v>
      </c>
      <c r="R27" s="112">
        <f t="shared" si="3"/>
        <v>14</v>
      </c>
      <c r="S27" s="8">
        <v>12</v>
      </c>
      <c r="T27" s="8">
        <v>8</v>
      </c>
      <c r="U27" s="8"/>
      <c r="V27" s="8"/>
      <c r="W27" s="8"/>
      <c r="X27" s="8"/>
      <c r="Y27" s="8">
        <v>2</v>
      </c>
      <c r="Z27" s="8"/>
      <c r="AA27" s="8"/>
      <c r="AB27" s="8" t="s">
        <v>39</v>
      </c>
      <c r="AC27" s="8"/>
      <c r="AD27" s="112">
        <f t="shared" si="15"/>
        <v>22</v>
      </c>
      <c r="AE27" s="8"/>
      <c r="AF27" s="8"/>
      <c r="AG27" s="112">
        <f t="shared" si="16"/>
        <v>36</v>
      </c>
      <c r="AH27" s="8">
        <v>6</v>
      </c>
      <c r="AI27" s="8"/>
      <c r="AJ27" s="8"/>
      <c r="AK27" s="8"/>
      <c r="AL27" s="8"/>
      <c r="AM27" s="8"/>
      <c r="AN27" s="8"/>
      <c r="AO27" s="112">
        <f t="shared" si="4"/>
        <v>6</v>
      </c>
      <c r="AP27" s="8">
        <f t="shared" si="17"/>
        <v>40</v>
      </c>
      <c r="AQ27" s="8">
        <f t="shared" si="18"/>
        <v>2</v>
      </c>
      <c r="AR27" s="113">
        <f t="shared" si="5"/>
        <v>42</v>
      </c>
    </row>
    <row r="28" spans="1:44" ht="20.100000000000001" customHeight="1" x14ac:dyDescent="0.3">
      <c r="A28" s="104" t="s">
        <v>55</v>
      </c>
      <c r="B28" s="4" t="s">
        <v>59</v>
      </c>
      <c r="C28" s="107">
        <v>63</v>
      </c>
      <c r="D28" s="108">
        <v>63</v>
      </c>
      <c r="E28" s="107">
        <f t="shared" si="1"/>
        <v>0</v>
      </c>
      <c r="F28" s="109"/>
      <c r="G28" s="84"/>
      <c r="H28" s="85"/>
      <c r="I28" s="85"/>
      <c r="J28" s="8"/>
      <c r="K28" s="8">
        <f t="shared" si="2"/>
        <v>63</v>
      </c>
      <c r="L28" s="8">
        <f t="shared" si="14"/>
        <v>63</v>
      </c>
      <c r="M28" s="8">
        <v>11</v>
      </c>
      <c r="N28" s="8">
        <v>5</v>
      </c>
      <c r="O28" s="8"/>
      <c r="P28" s="8"/>
      <c r="Q28" s="8">
        <v>2</v>
      </c>
      <c r="R28" s="112">
        <f t="shared" si="3"/>
        <v>18</v>
      </c>
      <c r="S28" s="8">
        <v>17</v>
      </c>
      <c r="T28" s="8">
        <v>9</v>
      </c>
      <c r="U28" s="8"/>
      <c r="V28" s="8"/>
      <c r="W28" s="8">
        <v>2</v>
      </c>
      <c r="X28" s="8"/>
      <c r="Y28" s="8">
        <v>2</v>
      </c>
      <c r="Z28" s="8"/>
      <c r="AA28" s="8"/>
      <c r="AB28" s="8" t="s">
        <v>39</v>
      </c>
      <c r="AC28" s="8"/>
      <c r="AD28" s="112">
        <f t="shared" si="15"/>
        <v>30</v>
      </c>
      <c r="AE28" s="8"/>
      <c r="AF28" s="8"/>
      <c r="AG28" s="112">
        <f t="shared" si="16"/>
        <v>48</v>
      </c>
      <c r="AH28" s="8">
        <v>17</v>
      </c>
      <c r="AI28" s="8"/>
      <c r="AJ28" s="8"/>
      <c r="AK28" s="8"/>
      <c r="AL28" s="8"/>
      <c r="AM28" s="8"/>
      <c r="AN28" s="8"/>
      <c r="AO28" s="112">
        <f t="shared" si="4"/>
        <v>17</v>
      </c>
      <c r="AP28" s="8">
        <f t="shared" si="17"/>
        <v>63</v>
      </c>
      <c r="AQ28" s="8">
        <f t="shared" si="18"/>
        <v>2</v>
      </c>
      <c r="AR28" s="113">
        <f t="shared" si="5"/>
        <v>65</v>
      </c>
    </row>
    <row r="29" spans="1:44" ht="20.100000000000001" customHeight="1" x14ac:dyDescent="0.3">
      <c r="A29" s="104" t="s">
        <v>55</v>
      </c>
      <c r="B29" s="4" t="s">
        <v>60</v>
      </c>
      <c r="C29" s="107">
        <v>68</v>
      </c>
      <c r="D29" s="108">
        <v>68</v>
      </c>
      <c r="E29" s="107">
        <f t="shared" si="1"/>
        <v>0</v>
      </c>
      <c r="F29" s="109"/>
      <c r="G29" s="84"/>
      <c r="H29" s="85"/>
      <c r="I29" s="85"/>
      <c r="J29" s="8"/>
      <c r="K29" s="8">
        <f t="shared" si="2"/>
        <v>68</v>
      </c>
      <c r="L29" s="8">
        <f t="shared" si="14"/>
        <v>68</v>
      </c>
      <c r="M29" s="8">
        <v>12</v>
      </c>
      <c r="N29" s="8">
        <v>5</v>
      </c>
      <c r="O29" s="8"/>
      <c r="P29" s="8"/>
      <c r="Q29" s="8">
        <v>2</v>
      </c>
      <c r="R29" s="112">
        <f t="shared" si="3"/>
        <v>19</v>
      </c>
      <c r="S29" s="8">
        <v>18</v>
      </c>
      <c r="T29" s="8">
        <v>12</v>
      </c>
      <c r="U29" s="8"/>
      <c r="V29" s="8"/>
      <c r="W29" s="8">
        <v>2</v>
      </c>
      <c r="X29" s="8"/>
      <c r="Y29" s="8">
        <v>4</v>
      </c>
      <c r="Z29" s="8"/>
      <c r="AA29" s="8"/>
      <c r="AB29" s="8" t="s">
        <v>39</v>
      </c>
      <c r="AC29" s="8"/>
      <c r="AD29" s="112">
        <f t="shared" si="15"/>
        <v>36</v>
      </c>
      <c r="AE29" s="8"/>
      <c r="AF29" s="8"/>
      <c r="AG29" s="112">
        <f t="shared" si="16"/>
        <v>55</v>
      </c>
      <c r="AH29" s="8">
        <v>17</v>
      </c>
      <c r="AI29" s="8"/>
      <c r="AJ29" s="8"/>
      <c r="AK29" s="8"/>
      <c r="AL29" s="8"/>
      <c r="AM29" s="8"/>
      <c r="AN29" s="8"/>
      <c r="AO29" s="112">
        <f t="shared" si="4"/>
        <v>17</v>
      </c>
      <c r="AP29" s="8">
        <f t="shared" si="17"/>
        <v>68</v>
      </c>
      <c r="AQ29" s="8">
        <f t="shared" si="18"/>
        <v>4</v>
      </c>
      <c r="AR29" s="113">
        <f t="shared" si="5"/>
        <v>72</v>
      </c>
    </row>
    <row r="30" spans="1:44" ht="20.100000000000001" customHeight="1" x14ac:dyDescent="0.3">
      <c r="A30" s="104" t="s">
        <v>55</v>
      </c>
      <c r="B30" s="4" t="s">
        <v>61</v>
      </c>
      <c r="C30" s="107">
        <v>36</v>
      </c>
      <c r="D30" s="108">
        <v>36</v>
      </c>
      <c r="E30" s="107">
        <f t="shared" si="1"/>
        <v>0</v>
      </c>
      <c r="F30" s="109"/>
      <c r="G30" s="84"/>
      <c r="H30" s="85"/>
      <c r="I30" s="97"/>
      <c r="J30" s="8"/>
      <c r="K30" s="8">
        <f t="shared" si="2"/>
        <v>36</v>
      </c>
      <c r="L30" s="8">
        <f t="shared" si="14"/>
        <v>36</v>
      </c>
      <c r="M30" s="8"/>
      <c r="N30" s="8"/>
      <c r="O30" s="8"/>
      <c r="P30" s="8"/>
      <c r="Q30" s="8"/>
      <c r="R30" s="112">
        <f t="shared" si="3"/>
        <v>0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12">
        <f t="shared" si="15"/>
        <v>0</v>
      </c>
      <c r="AE30" s="8">
        <v>36</v>
      </c>
      <c r="AF30" s="8"/>
      <c r="AG30" s="112">
        <f t="shared" si="16"/>
        <v>36</v>
      </c>
      <c r="AH30" s="8"/>
      <c r="AI30" s="8"/>
      <c r="AJ30" s="8"/>
      <c r="AK30" s="8"/>
      <c r="AL30" s="8"/>
      <c r="AM30" s="8"/>
      <c r="AN30" s="8"/>
      <c r="AO30" s="112">
        <f t="shared" si="4"/>
        <v>0</v>
      </c>
      <c r="AP30" s="8">
        <f t="shared" si="17"/>
        <v>36</v>
      </c>
      <c r="AQ30" s="8">
        <f t="shared" si="18"/>
        <v>0</v>
      </c>
      <c r="AR30" s="113">
        <f t="shared" si="5"/>
        <v>36</v>
      </c>
    </row>
    <row r="31" spans="1:44" ht="20.100000000000001" customHeight="1" x14ac:dyDescent="0.3">
      <c r="A31" s="104" t="s">
        <v>55</v>
      </c>
      <c r="B31" s="4" t="s">
        <v>62</v>
      </c>
      <c r="C31" s="107">
        <v>20</v>
      </c>
      <c r="D31" s="108">
        <v>20</v>
      </c>
      <c r="E31" s="107">
        <f t="shared" si="1"/>
        <v>0</v>
      </c>
      <c r="F31" s="109"/>
      <c r="G31" s="84"/>
      <c r="H31" s="85"/>
      <c r="I31" s="97"/>
      <c r="J31" s="8"/>
      <c r="K31" s="8">
        <f t="shared" si="2"/>
        <v>20</v>
      </c>
      <c r="L31" s="8">
        <f t="shared" si="14"/>
        <v>20</v>
      </c>
      <c r="M31" s="8"/>
      <c r="N31" s="8"/>
      <c r="O31" s="8"/>
      <c r="P31" s="8"/>
      <c r="Q31" s="8"/>
      <c r="R31" s="112">
        <f t="shared" si="3"/>
        <v>0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12">
        <f t="shared" si="15"/>
        <v>0</v>
      </c>
      <c r="AE31" s="8">
        <v>20</v>
      </c>
      <c r="AF31" s="8"/>
      <c r="AG31" s="112">
        <f t="shared" si="16"/>
        <v>20</v>
      </c>
      <c r="AH31" s="8"/>
      <c r="AI31" s="8"/>
      <c r="AJ31" s="8"/>
      <c r="AK31" s="8"/>
      <c r="AL31" s="8"/>
      <c r="AM31" s="8"/>
      <c r="AN31" s="8"/>
      <c r="AO31" s="112">
        <f t="shared" si="4"/>
        <v>0</v>
      </c>
      <c r="AP31" s="8">
        <f t="shared" si="17"/>
        <v>20</v>
      </c>
      <c r="AQ31" s="8">
        <f t="shared" si="18"/>
        <v>0</v>
      </c>
      <c r="AR31" s="113">
        <f t="shared" si="5"/>
        <v>20</v>
      </c>
    </row>
    <row r="32" spans="1:44" ht="20.100000000000001" customHeight="1" x14ac:dyDescent="0.3">
      <c r="A32" s="104" t="s">
        <v>55</v>
      </c>
      <c r="B32" s="4" t="s">
        <v>63</v>
      </c>
      <c r="C32" s="107">
        <v>26</v>
      </c>
      <c r="D32" s="108">
        <v>24</v>
      </c>
      <c r="E32" s="121">
        <f t="shared" si="1"/>
        <v>-2</v>
      </c>
      <c r="F32" s="109" t="s">
        <v>184</v>
      </c>
      <c r="G32" s="106" t="s">
        <v>190</v>
      </c>
      <c r="H32" s="123" t="s">
        <v>191</v>
      </c>
      <c r="I32" s="97"/>
      <c r="J32" s="8"/>
      <c r="K32" s="8">
        <f t="shared" si="2"/>
        <v>24</v>
      </c>
      <c r="L32" s="8">
        <f t="shared" si="14"/>
        <v>24</v>
      </c>
      <c r="M32" s="8"/>
      <c r="N32" s="8"/>
      <c r="O32" s="8"/>
      <c r="P32" s="8"/>
      <c r="Q32" s="8"/>
      <c r="R32" s="112">
        <f t="shared" si="3"/>
        <v>0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12">
        <f t="shared" si="15"/>
        <v>0</v>
      </c>
      <c r="AE32" s="8">
        <v>15</v>
      </c>
      <c r="AF32" s="8"/>
      <c r="AG32" s="112">
        <f t="shared" si="16"/>
        <v>15</v>
      </c>
      <c r="AH32" s="8"/>
      <c r="AI32" s="8"/>
      <c r="AJ32" s="8">
        <v>9</v>
      </c>
      <c r="AK32" s="8"/>
      <c r="AL32" s="8"/>
      <c r="AM32" s="8"/>
      <c r="AN32" s="8"/>
      <c r="AO32" s="112">
        <f t="shared" si="4"/>
        <v>9</v>
      </c>
      <c r="AP32" s="8">
        <f t="shared" si="17"/>
        <v>24</v>
      </c>
      <c r="AQ32" s="8">
        <f t="shared" si="18"/>
        <v>0</v>
      </c>
      <c r="AR32" s="113">
        <f t="shared" si="5"/>
        <v>24</v>
      </c>
    </row>
    <row r="33" spans="1:44" ht="20.100000000000001" customHeight="1" x14ac:dyDescent="0.3">
      <c r="A33" s="104" t="s">
        <v>55</v>
      </c>
      <c r="B33" s="4" t="s">
        <v>64</v>
      </c>
      <c r="C33" s="107">
        <v>26</v>
      </c>
      <c r="D33" s="108">
        <v>26</v>
      </c>
      <c r="E33" s="107">
        <f t="shared" si="1"/>
        <v>0</v>
      </c>
      <c r="F33" s="109"/>
      <c r="G33" s="84"/>
      <c r="H33" s="85"/>
      <c r="I33" s="97"/>
      <c r="J33" s="8"/>
      <c r="K33" s="8">
        <f t="shared" si="2"/>
        <v>26</v>
      </c>
      <c r="L33" s="8">
        <f t="shared" si="14"/>
        <v>26</v>
      </c>
      <c r="M33" s="8"/>
      <c r="N33" s="8"/>
      <c r="O33" s="8"/>
      <c r="P33" s="8"/>
      <c r="Q33" s="8"/>
      <c r="R33" s="112">
        <f t="shared" si="3"/>
        <v>0</v>
      </c>
      <c r="S33" s="8"/>
      <c r="T33" s="8"/>
      <c r="U33" s="8"/>
      <c r="V33" s="8"/>
      <c r="W33" s="8"/>
      <c r="X33" s="8">
        <v>7</v>
      </c>
      <c r="Y33" s="8"/>
      <c r="Z33" s="8"/>
      <c r="AA33" s="8"/>
      <c r="AB33" s="8"/>
      <c r="AC33" s="8"/>
      <c r="AD33" s="112">
        <f t="shared" si="15"/>
        <v>7</v>
      </c>
      <c r="AE33" s="8"/>
      <c r="AF33" s="8">
        <v>9</v>
      </c>
      <c r="AG33" s="112">
        <f t="shared" si="16"/>
        <v>16</v>
      </c>
      <c r="AH33" s="8">
        <v>10</v>
      </c>
      <c r="AI33" s="8"/>
      <c r="AJ33" s="8"/>
      <c r="AK33" s="8"/>
      <c r="AL33" s="8"/>
      <c r="AM33" s="8"/>
      <c r="AN33" s="8"/>
      <c r="AO33" s="112">
        <f t="shared" si="4"/>
        <v>10</v>
      </c>
      <c r="AP33" s="8">
        <f t="shared" si="17"/>
        <v>26</v>
      </c>
      <c r="AQ33" s="8">
        <f t="shared" si="18"/>
        <v>0</v>
      </c>
      <c r="AR33" s="113">
        <f t="shared" si="5"/>
        <v>26</v>
      </c>
    </row>
    <row r="34" spans="1:44" ht="20.100000000000001" customHeight="1" x14ac:dyDescent="0.3">
      <c r="A34" s="104" t="s">
        <v>55</v>
      </c>
      <c r="B34" s="4" t="s">
        <v>65</v>
      </c>
      <c r="C34" s="107">
        <v>29</v>
      </c>
      <c r="D34" s="108">
        <v>29</v>
      </c>
      <c r="E34" s="107">
        <f t="shared" si="1"/>
        <v>0</v>
      </c>
      <c r="F34" s="109"/>
      <c r="G34" s="84"/>
      <c r="H34" s="85"/>
      <c r="I34" s="85"/>
      <c r="J34" s="8"/>
      <c r="K34" s="8">
        <f t="shared" si="2"/>
        <v>29</v>
      </c>
      <c r="L34" s="8">
        <f t="shared" si="14"/>
        <v>29</v>
      </c>
      <c r="M34" s="8"/>
      <c r="N34" s="8"/>
      <c r="O34" s="8"/>
      <c r="P34" s="8"/>
      <c r="Q34" s="8"/>
      <c r="R34" s="112">
        <f t="shared" si="3"/>
        <v>0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112">
        <f t="shared" si="15"/>
        <v>0</v>
      </c>
      <c r="AE34" s="8">
        <v>29</v>
      </c>
      <c r="AF34" s="8"/>
      <c r="AG34" s="112">
        <f t="shared" si="16"/>
        <v>29</v>
      </c>
      <c r="AH34" s="8"/>
      <c r="AI34" s="8"/>
      <c r="AJ34" s="8"/>
      <c r="AK34" s="8"/>
      <c r="AL34" s="8"/>
      <c r="AM34" s="8"/>
      <c r="AN34" s="8"/>
      <c r="AO34" s="112">
        <f t="shared" si="4"/>
        <v>0</v>
      </c>
      <c r="AP34" s="8">
        <f t="shared" si="17"/>
        <v>29</v>
      </c>
      <c r="AQ34" s="8">
        <f t="shared" si="18"/>
        <v>0</v>
      </c>
      <c r="AR34" s="113">
        <f t="shared" si="5"/>
        <v>29</v>
      </c>
    </row>
    <row r="35" spans="1:44" ht="20.100000000000001" customHeight="1" x14ac:dyDescent="0.3">
      <c r="A35" s="104" t="s">
        <v>55</v>
      </c>
      <c r="B35" s="4" t="s">
        <v>66</v>
      </c>
      <c r="C35" s="107">
        <v>46</v>
      </c>
      <c r="D35" s="108">
        <v>46</v>
      </c>
      <c r="E35" s="107">
        <f t="shared" si="1"/>
        <v>0</v>
      </c>
      <c r="F35" s="109"/>
      <c r="G35" s="84"/>
      <c r="H35" s="85"/>
      <c r="I35" s="85"/>
      <c r="J35" s="8"/>
      <c r="K35" s="8">
        <f t="shared" si="2"/>
        <v>46</v>
      </c>
      <c r="L35" s="8">
        <f t="shared" si="14"/>
        <v>46</v>
      </c>
      <c r="M35" s="8">
        <v>8</v>
      </c>
      <c r="N35" s="8">
        <v>4</v>
      </c>
      <c r="O35" s="8"/>
      <c r="P35" s="8"/>
      <c r="Q35" s="8">
        <v>1</v>
      </c>
      <c r="R35" s="112">
        <f t="shared" si="3"/>
        <v>13</v>
      </c>
      <c r="S35" s="8">
        <v>13</v>
      </c>
      <c r="T35" s="8">
        <v>7</v>
      </c>
      <c r="U35" s="8"/>
      <c r="V35" s="8"/>
      <c r="W35" s="8"/>
      <c r="X35" s="8"/>
      <c r="Y35" s="8">
        <v>2</v>
      </c>
      <c r="Z35" s="8"/>
      <c r="AA35" s="8">
        <v>2</v>
      </c>
      <c r="AB35" s="8"/>
      <c r="AC35" s="8"/>
      <c r="AD35" s="112">
        <f t="shared" si="15"/>
        <v>24</v>
      </c>
      <c r="AE35" s="8"/>
      <c r="AF35" s="8"/>
      <c r="AG35" s="112">
        <f t="shared" si="16"/>
        <v>37</v>
      </c>
      <c r="AH35" s="8">
        <v>13</v>
      </c>
      <c r="AI35" s="8"/>
      <c r="AJ35" s="8"/>
      <c r="AK35" s="8"/>
      <c r="AL35" s="8"/>
      <c r="AM35" s="8"/>
      <c r="AN35" s="8"/>
      <c r="AO35" s="112">
        <f t="shared" si="4"/>
        <v>13</v>
      </c>
      <c r="AP35" s="8">
        <f t="shared" si="17"/>
        <v>46</v>
      </c>
      <c r="AQ35" s="8">
        <f t="shared" si="18"/>
        <v>4</v>
      </c>
      <c r="AR35" s="113">
        <f t="shared" si="5"/>
        <v>50</v>
      </c>
    </row>
    <row r="36" spans="1:44" ht="20.100000000000001" customHeight="1" x14ac:dyDescent="0.3">
      <c r="A36" s="105" t="s">
        <v>36</v>
      </c>
      <c r="B36" s="7" t="s">
        <v>128</v>
      </c>
      <c r="C36" s="114">
        <f>SUM(C24:C35)</f>
        <v>589</v>
      </c>
      <c r="D36" s="115">
        <f t="shared" ref="D36:AR36" si="19">SUM(D24:D35)</f>
        <v>588</v>
      </c>
      <c r="E36" s="114">
        <f t="shared" si="19"/>
        <v>-1</v>
      </c>
      <c r="F36" s="114">
        <f t="shared" si="19"/>
        <v>0</v>
      </c>
      <c r="G36" s="114">
        <f t="shared" si="19"/>
        <v>0</v>
      </c>
      <c r="H36" s="116">
        <f t="shared" si="19"/>
        <v>0</v>
      </c>
      <c r="I36" s="116">
        <f t="shared" si="19"/>
        <v>0</v>
      </c>
      <c r="J36" s="114">
        <f t="shared" si="19"/>
        <v>0</v>
      </c>
      <c r="K36" s="114">
        <f t="shared" si="19"/>
        <v>588</v>
      </c>
      <c r="L36" s="114">
        <f t="shared" si="19"/>
        <v>588</v>
      </c>
      <c r="M36" s="114">
        <f t="shared" si="19"/>
        <v>78</v>
      </c>
      <c r="N36" s="114">
        <f t="shared" si="19"/>
        <v>37</v>
      </c>
      <c r="O36" s="114">
        <f t="shared" si="19"/>
        <v>0</v>
      </c>
      <c r="P36" s="114">
        <f t="shared" si="19"/>
        <v>0</v>
      </c>
      <c r="Q36" s="114">
        <f t="shared" si="19"/>
        <v>15</v>
      </c>
      <c r="R36" s="114">
        <f t="shared" si="19"/>
        <v>130</v>
      </c>
      <c r="S36" s="114">
        <f t="shared" si="19"/>
        <v>121</v>
      </c>
      <c r="T36" s="114">
        <f t="shared" si="19"/>
        <v>77</v>
      </c>
      <c r="U36" s="114">
        <f t="shared" si="19"/>
        <v>0</v>
      </c>
      <c r="V36" s="114">
        <f t="shared" si="19"/>
        <v>0</v>
      </c>
      <c r="W36" s="114">
        <f t="shared" si="19"/>
        <v>13</v>
      </c>
      <c r="X36" s="114">
        <f t="shared" si="19"/>
        <v>7</v>
      </c>
      <c r="Y36" s="114">
        <f t="shared" si="19"/>
        <v>21</v>
      </c>
      <c r="Z36" s="114">
        <f t="shared" si="19"/>
        <v>0</v>
      </c>
      <c r="AA36" s="114">
        <f t="shared" si="19"/>
        <v>7</v>
      </c>
      <c r="AB36" s="114">
        <f t="shared" si="19"/>
        <v>0</v>
      </c>
      <c r="AC36" s="114">
        <f t="shared" si="19"/>
        <v>0</v>
      </c>
      <c r="AD36" s="114">
        <f t="shared" si="19"/>
        <v>246</v>
      </c>
      <c r="AE36" s="114">
        <f t="shared" si="19"/>
        <v>100</v>
      </c>
      <c r="AF36" s="114">
        <f t="shared" si="19"/>
        <v>9</v>
      </c>
      <c r="AG36" s="114">
        <f t="shared" si="19"/>
        <v>485</v>
      </c>
      <c r="AH36" s="114">
        <f t="shared" si="19"/>
        <v>122</v>
      </c>
      <c r="AI36" s="114">
        <f t="shared" si="19"/>
        <v>0</v>
      </c>
      <c r="AJ36" s="114">
        <f t="shared" si="19"/>
        <v>9</v>
      </c>
      <c r="AK36" s="114">
        <f t="shared" si="19"/>
        <v>0</v>
      </c>
      <c r="AL36" s="114">
        <f t="shared" si="19"/>
        <v>0</v>
      </c>
      <c r="AM36" s="114">
        <f t="shared" si="19"/>
        <v>0</v>
      </c>
      <c r="AN36" s="114">
        <f t="shared" si="19"/>
        <v>0</v>
      </c>
      <c r="AO36" s="114">
        <f t="shared" si="19"/>
        <v>131</v>
      </c>
      <c r="AP36" s="114">
        <f t="shared" si="19"/>
        <v>588</v>
      </c>
      <c r="AQ36" s="114">
        <f t="shared" si="19"/>
        <v>28</v>
      </c>
      <c r="AR36" s="117">
        <f t="shared" si="19"/>
        <v>616</v>
      </c>
    </row>
    <row r="37" spans="1:44" ht="20.100000000000001" customHeight="1" x14ac:dyDescent="0.3">
      <c r="A37" s="104" t="s">
        <v>67</v>
      </c>
      <c r="B37" s="4" t="s">
        <v>68</v>
      </c>
      <c r="C37" s="107">
        <v>14</v>
      </c>
      <c r="D37" s="108">
        <v>14</v>
      </c>
      <c r="E37" s="107">
        <f t="shared" si="1"/>
        <v>0</v>
      </c>
      <c r="F37" s="109"/>
      <c r="G37" s="84"/>
      <c r="H37" s="85"/>
      <c r="I37" s="85"/>
      <c r="J37" s="8"/>
      <c r="K37" s="8">
        <f t="shared" si="2"/>
        <v>14</v>
      </c>
      <c r="L37" s="8">
        <f t="shared" ref="L37:L48" si="20">SUM(M37:Q37)+SUM(S37:X37)+SUM(AE37:AF37)+SUM(AH37:AM37)</f>
        <v>14</v>
      </c>
      <c r="M37" s="8"/>
      <c r="N37" s="8">
        <v>3</v>
      </c>
      <c r="O37" s="8"/>
      <c r="P37" s="8"/>
      <c r="Q37" s="8">
        <v>1</v>
      </c>
      <c r="R37" s="112">
        <f t="shared" si="3"/>
        <v>4</v>
      </c>
      <c r="S37" s="8">
        <v>3</v>
      </c>
      <c r="T37" s="8">
        <v>3</v>
      </c>
      <c r="U37" s="8"/>
      <c r="V37" s="8"/>
      <c r="W37" s="8"/>
      <c r="X37" s="8"/>
      <c r="Y37" s="8">
        <v>1</v>
      </c>
      <c r="Z37" s="8"/>
      <c r="AA37" s="8"/>
      <c r="AB37" s="8">
        <v>1</v>
      </c>
      <c r="AC37" s="8"/>
      <c r="AD37" s="112">
        <f t="shared" ref="AD37:AD48" si="21">SUM(S37:AC37)</f>
        <v>8</v>
      </c>
      <c r="AE37" s="8"/>
      <c r="AF37" s="8"/>
      <c r="AG37" s="112">
        <f t="shared" ref="AG37:AG48" si="22">SUM(M37:Q37)+SUM(S37:AC37)+SUM(AE37:AF37)</f>
        <v>12</v>
      </c>
      <c r="AH37" s="8"/>
      <c r="AI37" s="8"/>
      <c r="AJ37" s="8"/>
      <c r="AK37" s="8">
        <v>4</v>
      </c>
      <c r="AL37" s="8"/>
      <c r="AM37" s="8"/>
      <c r="AN37" s="8"/>
      <c r="AO37" s="112">
        <f t="shared" si="4"/>
        <v>4</v>
      </c>
      <c r="AP37" s="8">
        <f t="shared" ref="AP37:AP48" si="23">SUM(M37:Q37)+SUM(S37:X37)+SUM(AE37:AF37)+SUM(AH37:AM37)</f>
        <v>14</v>
      </c>
      <c r="AQ37" s="8">
        <f t="shared" ref="AQ37:AQ48" si="24">SUM(Y37:AC37)+AN37</f>
        <v>2</v>
      </c>
      <c r="AR37" s="113">
        <f t="shared" si="5"/>
        <v>16</v>
      </c>
    </row>
    <row r="38" spans="1:44" ht="20.100000000000001" customHeight="1" x14ac:dyDescent="0.3">
      <c r="A38" s="104" t="s">
        <v>67</v>
      </c>
      <c r="B38" s="4" t="s">
        <v>69</v>
      </c>
      <c r="C38" s="107">
        <v>31</v>
      </c>
      <c r="D38" s="108">
        <v>31</v>
      </c>
      <c r="E38" s="107">
        <f t="shared" si="1"/>
        <v>0</v>
      </c>
      <c r="F38" s="109"/>
      <c r="G38" s="84"/>
      <c r="H38" s="123" t="s">
        <v>192</v>
      </c>
      <c r="I38" s="97"/>
      <c r="J38" s="8"/>
      <c r="K38" s="8">
        <f t="shared" si="2"/>
        <v>31</v>
      </c>
      <c r="L38" s="8">
        <f t="shared" si="20"/>
        <v>31</v>
      </c>
      <c r="M38" s="8"/>
      <c r="N38" s="8">
        <v>10</v>
      </c>
      <c r="O38" s="8"/>
      <c r="P38" s="8"/>
      <c r="Q38" s="8">
        <v>1</v>
      </c>
      <c r="R38" s="112">
        <f t="shared" si="3"/>
        <v>11</v>
      </c>
      <c r="S38" s="8">
        <v>8</v>
      </c>
      <c r="T38" s="8">
        <v>5</v>
      </c>
      <c r="U38" s="8"/>
      <c r="V38" s="8"/>
      <c r="W38" s="8"/>
      <c r="X38" s="8"/>
      <c r="Y38" s="8">
        <v>2</v>
      </c>
      <c r="Z38" s="8"/>
      <c r="AA38" s="8"/>
      <c r="AB38" s="8"/>
      <c r="AC38" s="8"/>
      <c r="AD38" s="112">
        <f t="shared" si="21"/>
        <v>15</v>
      </c>
      <c r="AE38" s="8"/>
      <c r="AF38" s="8"/>
      <c r="AG38" s="112">
        <f t="shared" si="22"/>
        <v>26</v>
      </c>
      <c r="AH38" s="8"/>
      <c r="AI38" s="8"/>
      <c r="AJ38" s="8"/>
      <c r="AK38" s="8">
        <v>7</v>
      </c>
      <c r="AL38" s="8"/>
      <c r="AM38" s="8"/>
      <c r="AN38" s="8"/>
      <c r="AO38" s="112">
        <f t="shared" si="4"/>
        <v>7</v>
      </c>
      <c r="AP38" s="8">
        <f t="shared" si="23"/>
        <v>31</v>
      </c>
      <c r="AQ38" s="8">
        <f t="shared" si="24"/>
        <v>2</v>
      </c>
      <c r="AR38" s="113">
        <f t="shared" si="5"/>
        <v>33</v>
      </c>
    </row>
    <row r="39" spans="1:44" ht="20.100000000000001" customHeight="1" x14ac:dyDescent="0.3">
      <c r="A39" s="104" t="s">
        <v>67</v>
      </c>
      <c r="B39" s="4" t="s">
        <v>70</v>
      </c>
      <c r="C39" s="107">
        <v>16</v>
      </c>
      <c r="D39" s="108">
        <v>16</v>
      </c>
      <c r="E39" s="107">
        <f t="shared" si="1"/>
        <v>0</v>
      </c>
      <c r="F39" s="109"/>
      <c r="G39" s="84"/>
      <c r="H39" s="85"/>
      <c r="I39" s="85"/>
      <c r="J39" s="8"/>
      <c r="K39" s="8">
        <f t="shared" si="2"/>
        <v>16</v>
      </c>
      <c r="L39" s="8">
        <f t="shared" si="20"/>
        <v>16</v>
      </c>
      <c r="M39" s="8"/>
      <c r="N39" s="8">
        <v>4</v>
      </c>
      <c r="O39" s="8"/>
      <c r="P39" s="8"/>
      <c r="Q39" s="8">
        <v>1</v>
      </c>
      <c r="R39" s="112">
        <f t="shared" si="3"/>
        <v>5</v>
      </c>
      <c r="S39" s="8">
        <v>3</v>
      </c>
      <c r="T39" s="8">
        <v>3</v>
      </c>
      <c r="U39" s="8"/>
      <c r="V39" s="8"/>
      <c r="W39" s="8"/>
      <c r="X39" s="8"/>
      <c r="Y39" s="8">
        <v>1</v>
      </c>
      <c r="Z39" s="8"/>
      <c r="AA39" s="8"/>
      <c r="AB39" s="8">
        <v>1</v>
      </c>
      <c r="AC39" s="8"/>
      <c r="AD39" s="112">
        <f t="shared" si="21"/>
        <v>8</v>
      </c>
      <c r="AE39" s="8"/>
      <c r="AF39" s="8"/>
      <c r="AG39" s="112">
        <f t="shared" si="22"/>
        <v>13</v>
      </c>
      <c r="AH39" s="8"/>
      <c r="AI39" s="8"/>
      <c r="AJ39" s="8"/>
      <c r="AK39" s="8">
        <v>5</v>
      </c>
      <c r="AL39" s="8"/>
      <c r="AM39" s="8"/>
      <c r="AN39" s="8"/>
      <c r="AO39" s="112">
        <f t="shared" si="4"/>
        <v>5</v>
      </c>
      <c r="AP39" s="8">
        <f t="shared" si="23"/>
        <v>16</v>
      </c>
      <c r="AQ39" s="8">
        <f t="shared" si="24"/>
        <v>2</v>
      </c>
      <c r="AR39" s="113">
        <f t="shared" si="5"/>
        <v>18</v>
      </c>
    </row>
    <row r="40" spans="1:44" ht="20.100000000000001" customHeight="1" x14ac:dyDescent="0.3">
      <c r="A40" s="104" t="s">
        <v>67</v>
      </c>
      <c r="B40" s="4" t="s">
        <v>71</v>
      </c>
      <c r="C40" s="107">
        <v>23</v>
      </c>
      <c r="D40" s="108">
        <v>23</v>
      </c>
      <c r="E40" s="107">
        <f t="shared" si="1"/>
        <v>0</v>
      </c>
      <c r="F40" s="109"/>
      <c r="G40" s="84"/>
      <c r="H40" s="85"/>
      <c r="I40" s="85"/>
      <c r="J40" s="8"/>
      <c r="K40" s="8">
        <f t="shared" si="2"/>
        <v>23</v>
      </c>
      <c r="L40" s="8">
        <f t="shared" si="20"/>
        <v>23</v>
      </c>
      <c r="M40" s="8"/>
      <c r="N40" s="8">
        <v>5</v>
      </c>
      <c r="O40" s="8"/>
      <c r="P40" s="8"/>
      <c r="Q40" s="8">
        <v>1</v>
      </c>
      <c r="R40" s="112">
        <f t="shared" si="3"/>
        <v>6</v>
      </c>
      <c r="S40" s="8">
        <v>7</v>
      </c>
      <c r="T40" s="8">
        <v>4</v>
      </c>
      <c r="U40" s="8"/>
      <c r="V40" s="8"/>
      <c r="W40" s="8"/>
      <c r="X40" s="8"/>
      <c r="Y40" s="8">
        <v>2</v>
      </c>
      <c r="Z40" s="8"/>
      <c r="AA40" s="8"/>
      <c r="AB40" s="8">
        <v>1</v>
      </c>
      <c r="AC40" s="8"/>
      <c r="AD40" s="112">
        <f t="shared" si="21"/>
        <v>14</v>
      </c>
      <c r="AE40" s="8"/>
      <c r="AF40" s="8"/>
      <c r="AG40" s="112">
        <f t="shared" si="22"/>
        <v>20</v>
      </c>
      <c r="AH40" s="8"/>
      <c r="AI40" s="8"/>
      <c r="AJ40" s="8"/>
      <c r="AK40" s="8">
        <v>6</v>
      </c>
      <c r="AL40" s="8"/>
      <c r="AM40" s="8"/>
      <c r="AN40" s="8"/>
      <c r="AO40" s="112">
        <f t="shared" si="4"/>
        <v>6</v>
      </c>
      <c r="AP40" s="8">
        <f t="shared" si="23"/>
        <v>23</v>
      </c>
      <c r="AQ40" s="8">
        <f t="shared" si="24"/>
        <v>3</v>
      </c>
      <c r="AR40" s="113">
        <f t="shared" si="5"/>
        <v>26</v>
      </c>
    </row>
    <row r="41" spans="1:44" ht="20.100000000000001" customHeight="1" x14ac:dyDescent="0.3">
      <c r="A41" s="104" t="s">
        <v>67</v>
      </c>
      <c r="B41" s="4" t="s">
        <v>72</v>
      </c>
      <c r="C41" s="107">
        <v>15</v>
      </c>
      <c r="D41" s="108">
        <v>16</v>
      </c>
      <c r="E41" s="121">
        <f t="shared" si="1"/>
        <v>1</v>
      </c>
      <c r="F41" s="109" t="s">
        <v>174</v>
      </c>
      <c r="G41" s="106" t="s">
        <v>189</v>
      </c>
      <c r="H41" s="110" t="s">
        <v>183</v>
      </c>
      <c r="I41" s="97"/>
      <c r="J41" s="8"/>
      <c r="K41" s="8">
        <f t="shared" si="2"/>
        <v>16</v>
      </c>
      <c r="L41" s="8">
        <f t="shared" si="20"/>
        <v>16</v>
      </c>
      <c r="M41" s="8"/>
      <c r="N41" s="8">
        <v>4</v>
      </c>
      <c r="O41" s="8"/>
      <c r="P41" s="8"/>
      <c r="Q41" s="8">
        <v>1</v>
      </c>
      <c r="R41" s="112">
        <f t="shared" si="3"/>
        <v>5</v>
      </c>
      <c r="S41" s="8">
        <v>4</v>
      </c>
      <c r="T41" s="8">
        <v>3</v>
      </c>
      <c r="U41" s="8"/>
      <c r="V41" s="8"/>
      <c r="W41" s="8"/>
      <c r="X41" s="8"/>
      <c r="Y41" s="8">
        <v>1</v>
      </c>
      <c r="Z41" s="8"/>
      <c r="AA41" s="8"/>
      <c r="AB41" s="8">
        <v>1</v>
      </c>
      <c r="AC41" s="8"/>
      <c r="AD41" s="112">
        <f t="shared" si="21"/>
        <v>9</v>
      </c>
      <c r="AE41" s="8"/>
      <c r="AF41" s="8"/>
      <c r="AG41" s="112">
        <f t="shared" si="22"/>
        <v>14</v>
      </c>
      <c r="AH41" s="8"/>
      <c r="AI41" s="8"/>
      <c r="AJ41" s="8"/>
      <c r="AK41" s="8">
        <v>4</v>
      </c>
      <c r="AL41" s="8"/>
      <c r="AM41" s="8"/>
      <c r="AN41" s="8"/>
      <c r="AO41" s="112">
        <f t="shared" si="4"/>
        <v>4</v>
      </c>
      <c r="AP41" s="8">
        <f t="shared" si="23"/>
        <v>16</v>
      </c>
      <c r="AQ41" s="8">
        <f t="shared" si="24"/>
        <v>2</v>
      </c>
      <c r="AR41" s="113">
        <f t="shared" si="5"/>
        <v>18</v>
      </c>
    </row>
    <row r="42" spans="1:44" ht="20.100000000000001" customHeight="1" x14ac:dyDescent="0.3">
      <c r="A42" s="104" t="s">
        <v>67</v>
      </c>
      <c r="B42" s="4" t="s">
        <v>73</v>
      </c>
      <c r="C42" s="107">
        <v>16</v>
      </c>
      <c r="D42" s="108">
        <v>16</v>
      </c>
      <c r="E42" s="107">
        <f t="shared" si="1"/>
        <v>0</v>
      </c>
      <c r="F42" s="109"/>
      <c r="G42" s="84"/>
      <c r="H42" s="85"/>
      <c r="I42" s="85"/>
      <c r="J42" s="8"/>
      <c r="K42" s="8">
        <f t="shared" si="2"/>
        <v>16</v>
      </c>
      <c r="L42" s="8">
        <f t="shared" si="20"/>
        <v>16</v>
      </c>
      <c r="M42" s="8"/>
      <c r="N42" s="8">
        <v>4</v>
      </c>
      <c r="O42" s="8"/>
      <c r="P42" s="8"/>
      <c r="Q42" s="8">
        <v>1</v>
      </c>
      <c r="R42" s="112">
        <f t="shared" si="3"/>
        <v>5</v>
      </c>
      <c r="S42" s="8">
        <v>4</v>
      </c>
      <c r="T42" s="8">
        <v>3</v>
      </c>
      <c r="U42" s="8"/>
      <c r="V42" s="8"/>
      <c r="W42" s="8"/>
      <c r="X42" s="8"/>
      <c r="Y42" s="8">
        <v>1</v>
      </c>
      <c r="Z42" s="8"/>
      <c r="AA42" s="8"/>
      <c r="AB42" s="8">
        <v>1</v>
      </c>
      <c r="AC42" s="8"/>
      <c r="AD42" s="112">
        <f t="shared" si="21"/>
        <v>9</v>
      </c>
      <c r="AE42" s="8"/>
      <c r="AF42" s="8"/>
      <c r="AG42" s="112">
        <f t="shared" si="22"/>
        <v>14</v>
      </c>
      <c r="AH42" s="8"/>
      <c r="AI42" s="8"/>
      <c r="AJ42" s="8"/>
      <c r="AK42" s="8">
        <v>4</v>
      </c>
      <c r="AL42" s="8"/>
      <c r="AM42" s="8"/>
      <c r="AN42" s="8"/>
      <c r="AO42" s="112">
        <f t="shared" si="4"/>
        <v>4</v>
      </c>
      <c r="AP42" s="8">
        <f t="shared" si="23"/>
        <v>16</v>
      </c>
      <c r="AQ42" s="8">
        <f t="shared" si="24"/>
        <v>2</v>
      </c>
      <c r="AR42" s="113">
        <f t="shared" si="5"/>
        <v>18</v>
      </c>
    </row>
    <row r="43" spans="1:44" ht="20.100000000000001" customHeight="1" x14ac:dyDescent="0.3">
      <c r="A43" s="104" t="s">
        <v>67</v>
      </c>
      <c r="B43" s="4" t="s">
        <v>74</v>
      </c>
      <c r="C43" s="107">
        <v>16</v>
      </c>
      <c r="D43" s="108">
        <v>16</v>
      </c>
      <c r="E43" s="107">
        <f t="shared" si="1"/>
        <v>0</v>
      </c>
      <c r="F43" s="109"/>
      <c r="G43" s="84"/>
      <c r="H43" s="123" t="s">
        <v>193</v>
      </c>
      <c r="I43" s="97"/>
      <c r="J43" s="8"/>
      <c r="K43" s="8">
        <f t="shared" si="2"/>
        <v>16</v>
      </c>
      <c r="L43" s="8">
        <f t="shared" si="20"/>
        <v>16</v>
      </c>
      <c r="M43" s="8"/>
      <c r="N43" s="8"/>
      <c r="O43" s="8"/>
      <c r="P43" s="8"/>
      <c r="Q43" s="8">
        <v>1</v>
      </c>
      <c r="R43" s="112">
        <f t="shared" si="3"/>
        <v>1</v>
      </c>
      <c r="S43" s="8">
        <v>7</v>
      </c>
      <c r="T43" s="8">
        <v>4</v>
      </c>
      <c r="U43" s="8"/>
      <c r="V43" s="8"/>
      <c r="W43" s="8"/>
      <c r="X43" s="8"/>
      <c r="Y43" s="8">
        <v>1</v>
      </c>
      <c r="Z43" s="8"/>
      <c r="AA43" s="8"/>
      <c r="AB43" s="8">
        <v>1</v>
      </c>
      <c r="AC43" s="8"/>
      <c r="AD43" s="112">
        <f t="shared" si="21"/>
        <v>13</v>
      </c>
      <c r="AE43" s="8"/>
      <c r="AF43" s="8"/>
      <c r="AG43" s="112">
        <f t="shared" si="22"/>
        <v>14</v>
      </c>
      <c r="AH43" s="8"/>
      <c r="AI43" s="8"/>
      <c r="AJ43" s="8"/>
      <c r="AK43" s="8">
        <v>4</v>
      </c>
      <c r="AL43" s="8"/>
      <c r="AM43" s="8"/>
      <c r="AN43" s="8"/>
      <c r="AO43" s="112">
        <f t="shared" si="4"/>
        <v>4</v>
      </c>
      <c r="AP43" s="8">
        <f t="shared" si="23"/>
        <v>16</v>
      </c>
      <c r="AQ43" s="8">
        <f t="shared" si="24"/>
        <v>2</v>
      </c>
      <c r="AR43" s="113">
        <f t="shared" si="5"/>
        <v>18</v>
      </c>
    </row>
    <row r="44" spans="1:44" ht="20.100000000000001" customHeight="1" x14ac:dyDescent="0.3">
      <c r="A44" s="104" t="s">
        <v>67</v>
      </c>
      <c r="B44" s="4" t="s">
        <v>75</v>
      </c>
      <c r="C44" s="107">
        <v>12</v>
      </c>
      <c r="D44" s="108">
        <v>12</v>
      </c>
      <c r="E44" s="107">
        <f t="shared" si="1"/>
        <v>0</v>
      </c>
      <c r="F44" s="109"/>
      <c r="G44" s="84"/>
      <c r="H44" s="85"/>
      <c r="I44" s="97"/>
      <c r="J44" s="8"/>
      <c r="K44" s="8">
        <f t="shared" si="2"/>
        <v>12</v>
      </c>
      <c r="L44" s="8">
        <f t="shared" si="20"/>
        <v>12</v>
      </c>
      <c r="M44" s="8"/>
      <c r="N44" s="8">
        <v>4</v>
      </c>
      <c r="O44" s="8"/>
      <c r="P44" s="8"/>
      <c r="Q44" s="8">
        <v>1</v>
      </c>
      <c r="R44" s="112">
        <f t="shared" si="3"/>
        <v>5</v>
      </c>
      <c r="S44" s="8"/>
      <c r="T44" s="8">
        <v>3</v>
      </c>
      <c r="U44" s="8"/>
      <c r="V44" s="8"/>
      <c r="W44" s="8"/>
      <c r="X44" s="8"/>
      <c r="Y44" s="8">
        <v>1</v>
      </c>
      <c r="Z44" s="8"/>
      <c r="AA44" s="8"/>
      <c r="AB44" s="8">
        <v>1</v>
      </c>
      <c r="AC44" s="8"/>
      <c r="AD44" s="112">
        <f t="shared" si="21"/>
        <v>5</v>
      </c>
      <c r="AE44" s="8"/>
      <c r="AF44" s="8"/>
      <c r="AG44" s="112">
        <f t="shared" si="22"/>
        <v>10</v>
      </c>
      <c r="AH44" s="8"/>
      <c r="AI44" s="8"/>
      <c r="AJ44" s="8"/>
      <c r="AK44" s="8">
        <v>4</v>
      </c>
      <c r="AL44" s="8"/>
      <c r="AM44" s="8"/>
      <c r="AN44" s="8"/>
      <c r="AO44" s="112">
        <f t="shared" si="4"/>
        <v>4</v>
      </c>
      <c r="AP44" s="8">
        <f t="shared" si="23"/>
        <v>12</v>
      </c>
      <c r="AQ44" s="8">
        <f t="shared" si="24"/>
        <v>2</v>
      </c>
      <c r="AR44" s="113">
        <f t="shared" si="5"/>
        <v>14</v>
      </c>
    </row>
    <row r="45" spans="1:44" ht="20.100000000000001" customHeight="1" x14ac:dyDescent="0.3">
      <c r="A45" s="104" t="s">
        <v>67</v>
      </c>
      <c r="B45" s="4" t="s">
        <v>76</v>
      </c>
      <c r="C45" s="107">
        <v>11</v>
      </c>
      <c r="D45" s="108">
        <v>11</v>
      </c>
      <c r="E45" s="107">
        <f t="shared" si="1"/>
        <v>0</v>
      </c>
      <c r="F45" s="109"/>
      <c r="G45" s="84"/>
      <c r="H45" s="85"/>
      <c r="I45" s="97"/>
      <c r="J45" s="8"/>
      <c r="K45" s="8">
        <f t="shared" si="2"/>
        <v>11</v>
      </c>
      <c r="L45" s="8">
        <f t="shared" si="20"/>
        <v>11</v>
      </c>
      <c r="M45" s="8"/>
      <c r="N45" s="8"/>
      <c r="O45" s="8"/>
      <c r="P45" s="8"/>
      <c r="Q45" s="8">
        <v>1</v>
      </c>
      <c r="R45" s="112">
        <f t="shared" si="3"/>
        <v>1</v>
      </c>
      <c r="S45" s="8">
        <v>4</v>
      </c>
      <c r="T45" s="8">
        <v>2</v>
      </c>
      <c r="U45" s="8"/>
      <c r="V45" s="8"/>
      <c r="W45" s="8"/>
      <c r="X45" s="8"/>
      <c r="Y45" s="8">
        <v>1</v>
      </c>
      <c r="Z45" s="8"/>
      <c r="AA45" s="8"/>
      <c r="AB45" s="8">
        <v>1</v>
      </c>
      <c r="AC45" s="8"/>
      <c r="AD45" s="112">
        <f t="shared" si="21"/>
        <v>8</v>
      </c>
      <c r="AE45" s="8"/>
      <c r="AF45" s="8"/>
      <c r="AG45" s="112">
        <f t="shared" si="22"/>
        <v>9</v>
      </c>
      <c r="AH45" s="8"/>
      <c r="AI45" s="8"/>
      <c r="AJ45" s="8"/>
      <c r="AK45" s="8">
        <v>4</v>
      </c>
      <c r="AL45" s="8"/>
      <c r="AM45" s="8"/>
      <c r="AN45" s="8"/>
      <c r="AO45" s="112">
        <f t="shared" si="4"/>
        <v>4</v>
      </c>
      <c r="AP45" s="8">
        <f t="shared" si="23"/>
        <v>11</v>
      </c>
      <c r="AQ45" s="8">
        <f t="shared" si="24"/>
        <v>2</v>
      </c>
      <c r="AR45" s="113">
        <f t="shared" si="5"/>
        <v>13</v>
      </c>
    </row>
    <row r="46" spans="1:44" ht="20.100000000000001" customHeight="1" x14ac:dyDescent="0.3">
      <c r="A46" s="104" t="s">
        <v>67</v>
      </c>
      <c r="B46" s="4" t="s">
        <v>77</v>
      </c>
      <c r="C46" s="107">
        <v>41</v>
      </c>
      <c r="D46" s="108">
        <v>41</v>
      </c>
      <c r="E46" s="107">
        <f t="shared" si="1"/>
        <v>0</v>
      </c>
      <c r="F46" s="109"/>
      <c r="G46" s="84"/>
      <c r="H46" s="123" t="s">
        <v>194</v>
      </c>
      <c r="I46" s="97"/>
      <c r="J46" s="8"/>
      <c r="K46" s="8">
        <f t="shared" si="2"/>
        <v>41</v>
      </c>
      <c r="L46" s="8">
        <f t="shared" si="20"/>
        <v>41</v>
      </c>
      <c r="M46" s="8"/>
      <c r="N46" s="8">
        <v>15</v>
      </c>
      <c r="O46" s="8"/>
      <c r="P46" s="8"/>
      <c r="Q46" s="8">
        <v>1</v>
      </c>
      <c r="R46" s="112">
        <f t="shared" si="3"/>
        <v>16</v>
      </c>
      <c r="S46" s="8">
        <v>7</v>
      </c>
      <c r="T46" s="8">
        <v>10</v>
      </c>
      <c r="U46" s="8"/>
      <c r="V46" s="8"/>
      <c r="W46" s="8"/>
      <c r="X46" s="8"/>
      <c r="Y46" s="8">
        <v>3</v>
      </c>
      <c r="Z46" s="8"/>
      <c r="AA46" s="8"/>
      <c r="AB46" s="8">
        <v>1</v>
      </c>
      <c r="AC46" s="8"/>
      <c r="AD46" s="112">
        <f t="shared" si="21"/>
        <v>21</v>
      </c>
      <c r="AE46" s="8"/>
      <c r="AF46" s="8"/>
      <c r="AG46" s="112">
        <f t="shared" si="22"/>
        <v>37</v>
      </c>
      <c r="AH46" s="8"/>
      <c r="AI46" s="8"/>
      <c r="AJ46" s="8"/>
      <c r="AK46" s="8">
        <v>8</v>
      </c>
      <c r="AL46" s="8"/>
      <c r="AM46" s="8"/>
      <c r="AN46" s="8"/>
      <c r="AO46" s="112">
        <f t="shared" si="4"/>
        <v>8</v>
      </c>
      <c r="AP46" s="8">
        <f t="shared" si="23"/>
        <v>41</v>
      </c>
      <c r="AQ46" s="8">
        <f t="shared" si="24"/>
        <v>4</v>
      </c>
      <c r="AR46" s="113">
        <f t="shared" si="5"/>
        <v>45</v>
      </c>
    </row>
    <row r="47" spans="1:44" ht="20.100000000000001" customHeight="1" x14ac:dyDescent="0.3">
      <c r="A47" s="104" t="s">
        <v>67</v>
      </c>
      <c r="B47" s="4" t="s">
        <v>78</v>
      </c>
      <c r="C47" s="107">
        <v>30</v>
      </c>
      <c r="D47" s="108">
        <v>30</v>
      </c>
      <c r="E47" s="107">
        <f t="shared" si="1"/>
        <v>0</v>
      </c>
      <c r="F47" s="109"/>
      <c r="G47" s="84"/>
      <c r="H47" s="85"/>
      <c r="I47" s="97"/>
      <c r="J47" s="8"/>
      <c r="K47" s="8">
        <f t="shared" si="2"/>
        <v>30</v>
      </c>
      <c r="L47" s="8">
        <f t="shared" si="20"/>
        <v>30</v>
      </c>
      <c r="M47" s="8"/>
      <c r="N47" s="8">
        <v>9</v>
      </c>
      <c r="O47" s="8"/>
      <c r="P47" s="8"/>
      <c r="Q47" s="8">
        <v>1</v>
      </c>
      <c r="R47" s="112">
        <f t="shared" si="3"/>
        <v>10</v>
      </c>
      <c r="S47" s="8">
        <v>7</v>
      </c>
      <c r="T47" s="8">
        <v>6</v>
      </c>
      <c r="U47" s="8"/>
      <c r="V47" s="8"/>
      <c r="W47" s="8"/>
      <c r="X47" s="8"/>
      <c r="Y47" s="8">
        <v>2</v>
      </c>
      <c r="Z47" s="8"/>
      <c r="AA47" s="8"/>
      <c r="AB47" s="8">
        <v>1</v>
      </c>
      <c r="AC47" s="8"/>
      <c r="AD47" s="112">
        <f t="shared" si="21"/>
        <v>16</v>
      </c>
      <c r="AE47" s="8"/>
      <c r="AF47" s="8"/>
      <c r="AG47" s="112">
        <f t="shared" si="22"/>
        <v>26</v>
      </c>
      <c r="AH47" s="8"/>
      <c r="AI47" s="8"/>
      <c r="AJ47" s="8"/>
      <c r="AK47" s="8">
        <v>7</v>
      </c>
      <c r="AL47" s="8"/>
      <c r="AM47" s="8"/>
      <c r="AN47" s="8"/>
      <c r="AO47" s="112">
        <f t="shared" si="4"/>
        <v>7</v>
      </c>
      <c r="AP47" s="8">
        <f t="shared" si="23"/>
        <v>30</v>
      </c>
      <c r="AQ47" s="8">
        <f t="shared" si="24"/>
        <v>3</v>
      </c>
      <c r="AR47" s="113">
        <f t="shared" si="5"/>
        <v>33</v>
      </c>
    </row>
    <row r="48" spans="1:44" ht="20.100000000000001" customHeight="1" x14ac:dyDescent="0.3">
      <c r="A48" s="104" t="s">
        <v>67</v>
      </c>
      <c r="B48" s="4" t="s">
        <v>79</v>
      </c>
      <c r="C48" s="107">
        <v>15</v>
      </c>
      <c r="D48" s="108">
        <v>14</v>
      </c>
      <c r="E48" s="121">
        <f t="shared" si="1"/>
        <v>-1</v>
      </c>
      <c r="F48" s="109" t="s">
        <v>184</v>
      </c>
      <c r="G48" s="106" t="s">
        <v>195</v>
      </c>
      <c r="H48" s="123" t="s">
        <v>196</v>
      </c>
      <c r="I48" s="97"/>
      <c r="J48" s="8"/>
      <c r="K48" s="8">
        <f t="shared" si="2"/>
        <v>14</v>
      </c>
      <c r="L48" s="8">
        <f t="shared" si="20"/>
        <v>14</v>
      </c>
      <c r="M48" s="8"/>
      <c r="N48" s="8"/>
      <c r="O48" s="8"/>
      <c r="P48" s="8"/>
      <c r="Q48" s="8"/>
      <c r="R48" s="112">
        <f t="shared" si="3"/>
        <v>0</v>
      </c>
      <c r="S48" s="8"/>
      <c r="T48" s="8"/>
      <c r="U48" s="8"/>
      <c r="V48" s="8"/>
      <c r="W48" s="8"/>
      <c r="X48" s="8">
        <v>5</v>
      </c>
      <c r="Y48" s="8">
        <v>1</v>
      </c>
      <c r="Z48" s="8"/>
      <c r="AA48" s="8"/>
      <c r="AB48" s="8"/>
      <c r="AC48" s="8"/>
      <c r="AD48" s="112">
        <f t="shared" si="21"/>
        <v>6</v>
      </c>
      <c r="AE48" s="8"/>
      <c r="AF48" s="8">
        <v>2</v>
      </c>
      <c r="AG48" s="112">
        <f t="shared" si="22"/>
        <v>8</v>
      </c>
      <c r="AH48" s="8"/>
      <c r="AI48" s="8"/>
      <c r="AJ48" s="8"/>
      <c r="AK48" s="8">
        <v>7</v>
      </c>
      <c r="AL48" s="8"/>
      <c r="AM48" s="8"/>
      <c r="AN48" s="8"/>
      <c r="AO48" s="112">
        <f t="shared" si="4"/>
        <v>7</v>
      </c>
      <c r="AP48" s="8">
        <f t="shared" si="23"/>
        <v>14</v>
      </c>
      <c r="AQ48" s="8">
        <f t="shared" si="24"/>
        <v>1</v>
      </c>
      <c r="AR48" s="113">
        <f t="shared" si="5"/>
        <v>15</v>
      </c>
    </row>
    <row r="49" spans="1:44" ht="20.100000000000001" customHeight="1" x14ac:dyDescent="0.3">
      <c r="A49" s="105" t="s">
        <v>36</v>
      </c>
      <c r="B49" s="7" t="s">
        <v>129</v>
      </c>
      <c r="C49" s="114">
        <f>SUM(C37:C48)</f>
        <v>240</v>
      </c>
      <c r="D49" s="115">
        <f t="shared" ref="D49:AR49" si="25">SUM(D37:D48)</f>
        <v>240</v>
      </c>
      <c r="E49" s="114">
        <f t="shared" si="25"/>
        <v>0</v>
      </c>
      <c r="F49" s="114">
        <f t="shared" si="25"/>
        <v>0</v>
      </c>
      <c r="G49" s="114">
        <f t="shared" si="25"/>
        <v>0</v>
      </c>
      <c r="H49" s="116">
        <f t="shared" si="25"/>
        <v>0</v>
      </c>
      <c r="I49" s="116">
        <f t="shared" si="25"/>
        <v>0</v>
      </c>
      <c r="J49" s="114">
        <f t="shared" si="25"/>
        <v>0</v>
      </c>
      <c r="K49" s="114">
        <f t="shared" si="25"/>
        <v>240</v>
      </c>
      <c r="L49" s="114">
        <f t="shared" si="25"/>
        <v>240</v>
      </c>
      <c r="M49" s="114">
        <f t="shared" si="25"/>
        <v>0</v>
      </c>
      <c r="N49" s="114">
        <f t="shared" si="25"/>
        <v>58</v>
      </c>
      <c r="O49" s="114">
        <f t="shared" si="25"/>
        <v>0</v>
      </c>
      <c r="P49" s="114">
        <f t="shared" si="25"/>
        <v>0</v>
      </c>
      <c r="Q49" s="114">
        <f t="shared" si="25"/>
        <v>11</v>
      </c>
      <c r="R49" s="114">
        <f t="shared" si="25"/>
        <v>69</v>
      </c>
      <c r="S49" s="114">
        <f t="shared" si="25"/>
        <v>54</v>
      </c>
      <c r="T49" s="114">
        <f t="shared" si="25"/>
        <v>46</v>
      </c>
      <c r="U49" s="114">
        <f t="shared" si="25"/>
        <v>0</v>
      </c>
      <c r="V49" s="114">
        <f t="shared" si="25"/>
        <v>0</v>
      </c>
      <c r="W49" s="114">
        <f t="shared" si="25"/>
        <v>0</v>
      </c>
      <c r="X49" s="114">
        <f t="shared" si="25"/>
        <v>5</v>
      </c>
      <c r="Y49" s="114">
        <f t="shared" si="25"/>
        <v>17</v>
      </c>
      <c r="Z49" s="114">
        <f t="shared" si="25"/>
        <v>0</v>
      </c>
      <c r="AA49" s="114">
        <f t="shared" si="25"/>
        <v>0</v>
      </c>
      <c r="AB49" s="114">
        <f t="shared" si="25"/>
        <v>10</v>
      </c>
      <c r="AC49" s="114">
        <f t="shared" si="25"/>
        <v>0</v>
      </c>
      <c r="AD49" s="114">
        <f t="shared" si="25"/>
        <v>132</v>
      </c>
      <c r="AE49" s="114">
        <f t="shared" si="25"/>
        <v>0</v>
      </c>
      <c r="AF49" s="114">
        <f t="shared" si="25"/>
        <v>2</v>
      </c>
      <c r="AG49" s="114">
        <f t="shared" si="25"/>
        <v>203</v>
      </c>
      <c r="AH49" s="114">
        <f t="shared" si="25"/>
        <v>0</v>
      </c>
      <c r="AI49" s="114">
        <f t="shared" si="25"/>
        <v>0</v>
      </c>
      <c r="AJ49" s="114">
        <f t="shared" si="25"/>
        <v>0</v>
      </c>
      <c r="AK49" s="114">
        <f t="shared" si="25"/>
        <v>64</v>
      </c>
      <c r="AL49" s="114">
        <f t="shared" si="25"/>
        <v>0</v>
      </c>
      <c r="AM49" s="114">
        <f t="shared" si="25"/>
        <v>0</v>
      </c>
      <c r="AN49" s="114">
        <f t="shared" si="25"/>
        <v>0</v>
      </c>
      <c r="AO49" s="114">
        <f t="shared" si="25"/>
        <v>64</v>
      </c>
      <c r="AP49" s="114">
        <f t="shared" si="25"/>
        <v>240</v>
      </c>
      <c r="AQ49" s="114">
        <f t="shared" si="25"/>
        <v>27</v>
      </c>
      <c r="AR49" s="117">
        <f t="shared" si="25"/>
        <v>267</v>
      </c>
    </row>
    <row r="50" spans="1:44" ht="20.100000000000001" customHeight="1" x14ac:dyDescent="0.3">
      <c r="A50" s="104" t="s">
        <v>80</v>
      </c>
      <c r="B50" s="4" t="s">
        <v>81</v>
      </c>
      <c r="C50" s="107">
        <v>23</v>
      </c>
      <c r="D50" s="108">
        <v>23</v>
      </c>
      <c r="E50" s="107">
        <f t="shared" si="1"/>
        <v>0</v>
      </c>
      <c r="F50" s="109"/>
      <c r="G50" s="106" t="s">
        <v>197</v>
      </c>
      <c r="H50" s="123" t="s">
        <v>198</v>
      </c>
      <c r="I50" s="97"/>
      <c r="J50" s="8"/>
      <c r="K50" s="8">
        <f t="shared" si="2"/>
        <v>23</v>
      </c>
      <c r="L50" s="8">
        <f t="shared" ref="L50:L55" si="26">SUM(M50:Q50)+SUM(S50:X50)+SUM(AE50:AF50)+SUM(AH50:AM50)</f>
        <v>23</v>
      </c>
      <c r="M50" s="8">
        <v>4</v>
      </c>
      <c r="N50" s="8">
        <v>3</v>
      </c>
      <c r="O50" s="8"/>
      <c r="P50" s="8"/>
      <c r="Q50" s="8">
        <v>1</v>
      </c>
      <c r="R50" s="112">
        <f t="shared" si="3"/>
        <v>8</v>
      </c>
      <c r="S50" s="8">
        <v>6</v>
      </c>
      <c r="T50" s="8">
        <v>4</v>
      </c>
      <c r="U50" s="8"/>
      <c r="V50" s="8"/>
      <c r="W50" s="8"/>
      <c r="X50" s="8"/>
      <c r="Y50" s="8">
        <v>1</v>
      </c>
      <c r="Z50" s="8"/>
      <c r="AA50" s="8"/>
      <c r="AB50" s="8" t="s">
        <v>39</v>
      </c>
      <c r="AC50" s="8"/>
      <c r="AD50" s="112">
        <f t="shared" ref="AD50:AD55" si="27">SUM(S50:AC50)</f>
        <v>11</v>
      </c>
      <c r="AE50" s="8"/>
      <c r="AF50" s="8"/>
      <c r="AG50" s="112">
        <f t="shared" ref="AG50:AG55" si="28">SUM(M50:Q50)+SUM(S50:AC50)+SUM(AE50:AF50)</f>
        <v>19</v>
      </c>
      <c r="AH50" s="8">
        <v>5</v>
      </c>
      <c r="AI50" s="8"/>
      <c r="AJ50" s="8"/>
      <c r="AK50" s="8"/>
      <c r="AL50" s="8"/>
      <c r="AM50" s="8"/>
      <c r="AN50" s="8"/>
      <c r="AO50" s="112">
        <f t="shared" si="4"/>
        <v>5</v>
      </c>
      <c r="AP50" s="8">
        <f t="shared" ref="AP50:AP55" si="29">SUM(M50:Q50)+SUM(S50:X50)+SUM(AE50:AF50)+SUM(AH50:AM50)</f>
        <v>23</v>
      </c>
      <c r="AQ50" s="8">
        <f t="shared" ref="AQ50:AQ55" si="30">SUM(Y50:AC50)+AN50</f>
        <v>1</v>
      </c>
      <c r="AR50" s="113">
        <f t="shared" si="5"/>
        <v>24</v>
      </c>
    </row>
    <row r="51" spans="1:44" ht="20.100000000000001" customHeight="1" x14ac:dyDescent="0.3">
      <c r="A51" s="104" t="s">
        <v>80</v>
      </c>
      <c r="B51" s="4" t="s">
        <v>82</v>
      </c>
      <c r="C51" s="107">
        <v>27</v>
      </c>
      <c r="D51" s="108">
        <v>27</v>
      </c>
      <c r="E51" s="107">
        <f t="shared" si="1"/>
        <v>0</v>
      </c>
      <c r="F51" s="109"/>
      <c r="G51" s="84"/>
      <c r="H51" s="85"/>
      <c r="I51" s="85"/>
      <c r="J51" s="8"/>
      <c r="K51" s="8">
        <f t="shared" si="2"/>
        <v>27</v>
      </c>
      <c r="L51" s="8">
        <f t="shared" si="26"/>
        <v>27</v>
      </c>
      <c r="M51" s="8">
        <v>6</v>
      </c>
      <c r="N51" s="8">
        <v>3</v>
      </c>
      <c r="O51" s="8"/>
      <c r="P51" s="8"/>
      <c r="Q51" s="8">
        <v>1</v>
      </c>
      <c r="R51" s="112">
        <f t="shared" si="3"/>
        <v>10</v>
      </c>
      <c r="S51" s="8">
        <v>6</v>
      </c>
      <c r="T51" s="8">
        <v>4</v>
      </c>
      <c r="U51" s="8"/>
      <c r="V51" s="8"/>
      <c r="W51" s="8">
        <v>2</v>
      </c>
      <c r="X51" s="8"/>
      <c r="Y51" s="8">
        <v>2</v>
      </c>
      <c r="Z51" s="8"/>
      <c r="AA51" s="8"/>
      <c r="AB51" s="8" t="s">
        <v>39</v>
      </c>
      <c r="AC51" s="8"/>
      <c r="AD51" s="112">
        <f t="shared" si="27"/>
        <v>14</v>
      </c>
      <c r="AE51" s="8"/>
      <c r="AF51" s="8"/>
      <c r="AG51" s="112">
        <f t="shared" si="28"/>
        <v>24</v>
      </c>
      <c r="AH51" s="8">
        <v>5</v>
      </c>
      <c r="AI51" s="8"/>
      <c r="AJ51" s="8"/>
      <c r="AK51" s="8"/>
      <c r="AL51" s="8"/>
      <c r="AM51" s="8"/>
      <c r="AN51" s="8"/>
      <c r="AO51" s="112">
        <f t="shared" si="4"/>
        <v>5</v>
      </c>
      <c r="AP51" s="8">
        <f t="shared" si="29"/>
        <v>27</v>
      </c>
      <c r="AQ51" s="8">
        <f t="shared" si="30"/>
        <v>2</v>
      </c>
      <c r="AR51" s="113">
        <f t="shared" si="5"/>
        <v>29</v>
      </c>
    </row>
    <row r="52" spans="1:44" ht="20.100000000000001" customHeight="1" x14ac:dyDescent="0.3">
      <c r="A52" s="104" t="s">
        <v>80</v>
      </c>
      <c r="B52" s="4" t="s">
        <v>83</v>
      </c>
      <c r="C52" s="107">
        <v>28</v>
      </c>
      <c r="D52" s="108">
        <v>28</v>
      </c>
      <c r="E52" s="107">
        <f t="shared" si="1"/>
        <v>0</v>
      </c>
      <c r="F52" s="109"/>
      <c r="G52" s="84"/>
      <c r="H52" s="85"/>
      <c r="I52" s="85"/>
      <c r="J52" s="8"/>
      <c r="K52" s="8">
        <f t="shared" si="2"/>
        <v>28</v>
      </c>
      <c r="L52" s="8">
        <f t="shared" si="26"/>
        <v>28</v>
      </c>
      <c r="M52" s="8"/>
      <c r="N52" s="8"/>
      <c r="O52" s="8"/>
      <c r="P52" s="8"/>
      <c r="Q52" s="8">
        <v>1</v>
      </c>
      <c r="R52" s="112">
        <f t="shared" si="3"/>
        <v>1</v>
      </c>
      <c r="S52" s="8">
        <v>15</v>
      </c>
      <c r="T52" s="8">
        <v>6</v>
      </c>
      <c r="U52" s="8"/>
      <c r="V52" s="8"/>
      <c r="W52" s="8"/>
      <c r="X52" s="8"/>
      <c r="Y52" s="8">
        <v>1</v>
      </c>
      <c r="Z52" s="8"/>
      <c r="AA52" s="8"/>
      <c r="AB52" s="8" t="s">
        <v>39</v>
      </c>
      <c r="AC52" s="8"/>
      <c r="AD52" s="112">
        <f t="shared" si="27"/>
        <v>22</v>
      </c>
      <c r="AE52" s="8"/>
      <c r="AF52" s="8"/>
      <c r="AG52" s="112">
        <f t="shared" si="28"/>
        <v>23</v>
      </c>
      <c r="AH52" s="8">
        <v>6</v>
      </c>
      <c r="AI52" s="8"/>
      <c r="AJ52" s="8"/>
      <c r="AK52" s="8"/>
      <c r="AL52" s="8"/>
      <c r="AM52" s="8"/>
      <c r="AN52" s="8"/>
      <c r="AO52" s="112">
        <f t="shared" si="4"/>
        <v>6</v>
      </c>
      <c r="AP52" s="8">
        <f t="shared" si="29"/>
        <v>28</v>
      </c>
      <c r="AQ52" s="8">
        <f t="shared" si="30"/>
        <v>1</v>
      </c>
      <c r="AR52" s="113">
        <f t="shared" si="5"/>
        <v>29</v>
      </c>
    </row>
    <row r="53" spans="1:44" ht="20.100000000000001" customHeight="1" x14ac:dyDescent="0.3">
      <c r="A53" s="104" t="s">
        <v>80</v>
      </c>
      <c r="B53" s="4" t="s">
        <v>84</v>
      </c>
      <c r="C53" s="107">
        <v>26</v>
      </c>
      <c r="D53" s="108">
        <v>26</v>
      </c>
      <c r="E53" s="107">
        <f t="shared" si="1"/>
        <v>0</v>
      </c>
      <c r="F53" s="109"/>
      <c r="G53" s="84"/>
      <c r="H53" s="85"/>
      <c r="I53" s="85"/>
      <c r="J53" s="8"/>
      <c r="K53" s="8">
        <f t="shared" si="2"/>
        <v>26</v>
      </c>
      <c r="L53" s="8">
        <f t="shared" si="26"/>
        <v>26</v>
      </c>
      <c r="M53" s="8">
        <v>6</v>
      </c>
      <c r="N53" s="8">
        <v>3</v>
      </c>
      <c r="O53" s="8"/>
      <c r="P53" s="8"/>
      <c r="Q53" s="8">
        <v>1</v>
      </c>
      <c r="R53" s="112">
        <f t="shared" si="3"/>
        <v>10</v>
      </c>
      <c r="S53" s="8">
        <v>6</v>
      </c>
      <c r="T53" s="8">
        <v>2</v>
      </c>
      <c r="U53" s="8"/>
      <c r="V53" s="8"/>
      <c r="W53" s="8">
        <v>2</v>
      </c>
      <c r="X53" s="8"/>
      <c r="Y53" s="8">
        <v>2</v>
      </c>
      <c r="Z53" s="8"/>
      <c r="AA53" s="8"/>
      <c r="AB53" s="8" t="s">
        <v>39</v>
      </c>
      <c r="AC53" s="8"/>
      <c r="AD53" s="112">
        <f t="shared" si="27"/>
        <v>12</v>
      </c>
      <c r="AE53" s="8"/>
      <c r="AF53" s="8"/>
      <c r="AG53" s="112">
        <f t="shared" si="28"/>
        <v>22</v>
      </c>
      <c r="AH53" s="8">
        <v>6</v>
      </c>
      <c r="AI53" s="8"/>
      <c r="AJ53" s="8"/>
      <c r="AK53" s="8"/>
      <c r="AL53" s="8"/>
      <c r="AM53" s="8"/>
      <c r="AN53" s="8"/>
      <c r="AO53" s="112">
        <f t="shared" si="4"/>
        <v>6</v>
      </c>
      <c r="AP53" s="8">
        <f t="shared" si="29"/>
        <v>26</v>
      </c>
      <c r="AQ53" s="8">
        <f t="shared" si="30"/>
        <v>2</v>
      </c>
      <c r="AR53" s="113">
        <f t="shared" si="5"/>
        <v>28</v>
      </c>
    </row>
    <row r="54" spans="1:44" ht="20.100000000000001" customHeight="1" x14ac:dyDescent="0.3">
      <c r="A54" s="104" t="s">
        <v>80</v>
      </c>
      <c r="B54" s="4" t="s">
        <v>85</v>
      </c>
      <c r="C54" s="107">
        <v>25</v>
      </c>
      <c r="D54" s="108">
        <v>25</v>
      </c>
      <c r="E54" s="107">
        <f t="shared" si="1"/>
        <v>0</v>
      </c>
      <c r="F54" s="109"/>
      <c r="G54" s="84"/>
      <c r="H54" s="85"/>
      <c r="I54" s="85"/>
      <c r="J54" s="8"/>
      <c r="K54" s="8">
        <f t="shared" si="2"/>
        <v>25</v>
      </c>
      <c r="L54" s="8">
        <f t="shared" si="26"/>
        <v>25</v>
      </c>
      <c r="M54" s="8">
        <v>5</v>
      </c>
      <c r="N54" s="8">
        <v>3</v>
      </c>
      <c r="O54" s="8"/>
      <c r="P54" s="8"/>
      <c r="Q54" s="8">
        <v>1</v>
      </c>
      <c r="R54" s="112">
        <f t="shared" si="3"/>
        <v>9</v>
      </c>
      <c r="S54" s="8">
        <v>6</v>
      </c>
      <c r="T54" s="8">
        <v>4</v>
      </c>
      <c r="U54" s="8"/>
      <c r="V54" s="8"/>
      <c r="W54" s="8"/>
      <c r="X54" s="8"/>
      <c r="Y54" s="8">
        <v>1</v>
      </c>
      <c r="Z54" s="8"/>
      <c r="AA54" s="8"/>
      <c r="AB54" s="8" t="s">
        <v>39</v>
      </c>
      <c r="AC54" s="8"/>
      <c r="AD54" s="112">
        <f t="shared" si="27"/>
        <v>11</v>
      </c>
      <c r="AE54" s="8"/>
      <c r="AF54" s="8"/>
      <c r="AG54" s="112">
        <f t="shared" si="28"/>
        <v>20</v>
      </c>
      <c r="AH54" s="8">
        <v>6</v>
      </c>
      <c r="AI54" s="8"/>
      <c r="AJ54" s="8"/>
      <c r="AK54" s="8"/>
      <c r="AL54" s="8"/>
      <c r="AM54" s="8"/>
      <c r="AN54" s="8"/>
      <c r="AO54" s="112">
        <f t="shared" si="4"/>
        <v>6</v>
      </c>
      <c r="AP54" s="8">
        <f t="shared" si="29"/>
        <v>25</v>
      </c>
      <c r="AQ54" s="8">
        <f t="shared" si="30"/>
        <v>1</v>
      </c>
      <c r="AR54" s="113">
        <f t="shared" si="5"/>
        <v>26</v>
      </c>
    </row>
    <row r="55" spans="1:44" ht="20.100000000000001" customHeight="1" x14ac:dyDescent="0.3">
      <c r="A55" s="104" t="s">
        <v>80</v>
      </c>
      <c r="B55" s="4" t="s">
        <v>86</v>
      </c>
      <c r="C55" s="107">
        <v>69</v>
      </c>
      <c r="D55" s="108">
        <v>69</v>
      </c>
      <c r="E55" s="107">
        <f t="shared" si="1"/>
        <v>0</v>
      </c>
      <c r="F55" s="109"/>
      <c r="G55" s="84"/>
      <c r="H55" s="85"/>
      <c r="I55" s="85"/>
      <c r="J55" s="8"/>
      <c r="K55" s="8">
        <f t="shared" si="2"/>
        <v>69</v>
      </c>
      <c r="L55" s="8">
        <f t="shared" si="26"/>
        <v>69</v>
      </c>
      <c r="M55" s="8">
        <v>12</v>
      </c>
      <c r="N55" s="8">
        <v>7</v>
      </c>
      <c r="O55" s="8"/>
      <c r="P55" s="8"/>
      <c r="Q55" s="8">
        <v>2</v>
      </c>
      <c r="R55" s="112">
        <f t="shared" si="3"/>
        <v>21</v>
      </c>
      <c r="S55" s="8">
        <v>14</v>
      </c>
      <c r="T55" s="8">
        <v>11</v>
      </c>
      <c r="U55" s="8"/>
      <c r="V55" s="8"/>
      <c r="W55" s="8">
        <v>2</v>
      </c>
      <c r="X55" s="8"/>
      <c r="Y55" s="8">
        <v>3</v>
      </c>
      <c r="Z55" s="8"/>
      <c r="AA55" s="8"/>
      <c r="AB55" s="8" t="s">
        <v>39</v>
      </c>
      <c r="AC55" s="8"/>
      <c r="AD55" s="112">
        <f t="shared" si="27"/>
        <v>30</v>
      </c>
      <c r="AE55" s="8"/>
      <c r="AF55" s="8"/>
      <c r="AG55" s="112">
        <f t="shared" si="28"/>
        <v>51</v>
      </c>
      <c r="AH55" s="8">
        <v>21</v>
      </c>
      <c r="AI55" s="8"/>
      <c r="AJ55" s="8"/>
      <c r="AK55" s="8"/>
      <c r="AL55" s="8"/>
      <c r="AM55" s="8"/>
      <c r="AN55" s="8"/>
      <c r="AO55" s="112">
        <f t="shared" si="4"/>
        <v>21</v>
      </c>
      <c r="AP55" s="8">
        <f t="shared" si="29"/>
        <v>69</v>
      </c>
      <c r="AQ55" s="8">
        <f t="shared" si="30"/>
        <v>3</v>
      </c>
      <c r="AR55" s="113">
        <f t="shared" si="5"/>
        <v>72</v>
      </c>
    </row>
    <row r="56" spans="1:44" ht="20.100000000000001" customHeight="1" x14ac:dyDescent="0.3">
      <c r="A56" s="105" t="s">
        <v>36</v>
      </c>
      <c r="B56" s="7" t="s">
        <v>130</v>
      </c>
      <c r="C56" s="114">
        <f>SUM(C50:C55)</f>
        <v>198</v>
      </c>
      <c r="D56" s="115">
        <f t="shared" ref="D56:AR56" si="31">SUM(D50:D55)</f>
        <v>198</v>
      </c>
      <c r="E56" s="114">
        <f t="shared" si="31"/>
        <v>0</v>
      </c>
      <c r="F56" s="114">
        <f t="shared" si="31"/>
        <v>0</v>
      </c>
      <c r="G56" s="114">
        <f t="shared" si="31"/>
        <v>0</v>
      </c>
      <c r="H56" s="116">
        <f t="shared" si="31"/>
        <v>0</v>
      </c>
      <c r="I56" s="116">
        <f t="shared" si="31"/>
        <v>0</v>
      </c>
      <c r="J56" s="114">
        <f t="shared" si="31"/>
        <v>0</v>
      </c>
      <c r="K56" s="114">
        <f t="shared" si="31"/>
        <v>198</v>
      </c>
      <c r="L56" s="114">
        <f t="shared" si="31"/>
        <v>198</v>
      </c>
      <c r="M56" s="114">
        <f t="shared" si="31"/>
        <v>33</v>
      </c>
      <c r="N56" s="114">
        <f t="shared" si="31"/>
        <v>19</v>
      </c>
      <c r="O56" s="114">
        <f t="shared" si="31"/>
        <v>0</v>
      </c>
      <c r="P56" s="114">
        <f t="shared" si="31"/>
        <v>0</v>
      </c>
      <c r="Q56" s="114">
        <f t="shared" si="31"/>
        <v>7</v>
      </c>
      <c r="R56" s="114">
        <f t="shared" si="31"/>
        <v>59</v>
      </c>
      <c r="S56" s="114">
        <f t="shared" si="31"/>
        <v>53</v>
      </c>
      <c r="T56" s="114">
        <f t="shared" si="31"/>
        <v>31</v>
      </c>
      <c r="U56" s="114">
        <f t="shared" si="31"/>
        <v>0</v>
      </c>
      <c r="V56" s="114">
        <f t="shared" si="31"/>
        <v>0</v>
      </c>
      <c r="W56" s="114">
        <f t="shared" si="31"/>
        <v>6</v>
      </c>
      <c r="X56" s="114">
        <f t="shared" si="31"/>
        <v>0</v>
      </c>
      <c r="Y56" s="114">
        <f t="shared" si="31"/>
        <v>10</v>
      </c>
      <c r="Z56" s="114">
        <f t="shared" si="31"/>
        <v>0</v>
      </c>
      <c r="AA56" s="114">
        <f t="shared" si="31"/>
        <v>0</v>
      </c>
      <c r="AB56" s="114">
        <f t="shared" si="31"/>
        <v>0</v>
      </c>
      <c r="AC56" s="114">
        <f t="shared" si="31"/>
        <v>0</v>
      </c>
      <c r="AD56" s="114">
        <f t="shared" si="31"/>
        <v>100</v>
      </c>
      <c r="AE56" s="114">
        <f t="shared" si="31"/>
        <v>0</v>
      </c>
      <c r="AF56" s="114">
        <f t="shared" si="31"/>
        <v>0</v>
      </c>
      <c r="AG56" s="114">
        <f t="shared" si="31"/>
        <v>159</v>
      </c>
      <c r="AH56" s="114">
        <f t="shared" si="31"/>
        <v>49</v>
      </c>
      <c r="AI56" s="114">
        <f t="shared" si="31"/>
        <v>0</v>
      </c>
      <c r="AJ56" s="114">
        <f t="shared" si="31"/>
        <v>0</v>
      </c>
      <c r="AK56" s="114">
        <f t="shared" si="31"/>
        <v>0</v>
      </c>
      <c r="AL56" s="114">
        <f t="shared" si="31"/>
        <v>0</v>
      </c>
      <c r="AM56" s="114">
        <f t="shared" si="31"/>
        <v>0</v>
      </c>
      <c r="AN56" s="114">
        <f t="shared" si="31"/>
        <v>0</v>
      </c>
      <c r="AO56" s="114">
        <f t="shared" si="31"/>
        <v>49</v>
      </c>
      <c r="AP56" s="114">
        <f t="shared" si="31"/>
        <v>198</v>
      </c>
      <c r="AQ56" s="114">
        <f t="shared" si="31"/>
        <v>10</v>
      </c>
      <c r="AR56" s="117">
        <f t="shared" si="31"/>
        <v>208</v>
      </c>
    </row>
    <row r="57" spans="1:44" ht="20.100000000000001" customHeight="1" x14ac:dyDescent="0.3">
      <c r="A57" s="104" t="s">
        <v>87</v>
      </c>
      <c r="B57" s="4" t="s">
        <v>88</v>
      </c>
      <c r="C57" s="107">
        <v>46</v>
      </c>
      <c r="D57" s="108">
        <v>46</v>
      </c>
      <c r="E57" s="107">
        <f t="shared" si="1"/>
        <v>0</v>
      </c>
      <c r="F57" s="109"/>
      <c r="G57" s="84"/>
      <c r="H57" s="85"/>
      <c r="I57" s="85"/>
      <c r="J57" s="8"/>
      <c r="K57" s="8">
        <f t="shared" si="2"/>
        <v>46</v>
      </c>
      <c r="L57" s="8">
        <f>SUM(M57:Q57)+SUM(S57:X57)+SUM(AE57:AF57)+SUM(AH57:AM57)</f>
        <v>46</v>
      </c>
      <c r="M57" s="8">
        <v>11</v>
      </c>
      <c r="N57" s="8">
        <v>5</v>
      </c>
      <c r="O57" s="8"/>
      <c r="P57" s="8"/>
      <c r="Q57" s="8">
        <v>2</v>
      </c>
      <c r="R57" s="112">
        <f t="shared" si="3"/>
        <v>18</v>
      </c>
      <c r="S57" s="8">
        <v>11</v>
      </c>
      <c r="T57" s="8">
        <v>8</v>
      </c>
      <c r="U57" s="8"/>
      <c r="V57" s="8"/>
      <c r="W57" s="8">
        <v>2</v>
      </c>
      <c r="X57" s="8"/>
      <c r="Y57" s="8">
        <v>3</v>
      </c>
      <c r="Z57" s="8"/>
      <c r="AA57" s="8">
        <v>2</v>
      </c>
      <c r="AB57" s="8" t="s">
        <v>39</v>
      </c>
      <c r="AC57" s="8"/>
      <c r="AD57" s="112">
        <f>SUM(S57:AC57)</f>
        <v>26</v>
      </c>
      <c r="AE57" s="8"/>
      <c r="AF57" s="8"/>
      <c r="AG57" s="112">
        <f>SUM(M57:Q57)+SUM(S57:AC57)+SUM(AE57:AF57)</f>
        <v>44</v>
      </c>
      <c r="AH57" s="8"/>
      <c r="AI57" s="8"/>
      <c r="AJ57" s="8"/>
      <c r="AK57" s="8">
        <v>7</v>
      </c>
      <c r="AL57" s="8"/>
      <c r="AM57" s="8"/>
      <c r="AN57" s="8"/>
      <c r="AO57" s="112">
        <f t="shared" si="4"/>
        <v>7</v>
      </c>
      <c r="AP57" s="8">
        <f>SUM(M57:Q57)+SUM(S57:X57)+SUM(AE57:AF57)+SUM(AH57:AM57)</f>
        <v>46</v>
      </c>
      <c r="AQ57" s="8">
        <f>SUM(Y57:AC57)+AN57</f>
        <v>5</v>
      </c>
      <c r="AR57" s="113">
        <f t="shared" si="5"/>
        <v>51</v>
      </c>
    </row>
    <row r="58" spans="1:44" ht="20.100000000000001" customHeight="1" x14ac:dyDescent="0.3">
      <c r="A58" s="104" t="s">
        <v>87</v>
      </c>
      <c r="B58" s="4" t="s">
        <v>89</v>
      </c>
      <c r="C58" s="107">
        <v>96</v>
      </c>
      <c r="D58" s="108">
        <v>96</v>
      </c>
      <c r="E58" s="107">
        <f t="shared" si="1"/>
        <v>0</v>
      </c>
      <c r="F58" s="109"/>
      <c r="G58" s="84"/>
      <c r="H58" s="85"/>
      <c r="I58" s="97"/>
      <c r="J58" s="8"/>
      <c r="K58" s="8">
        <f t="shared" si="2"/>
        <v>96</v>
      </c>
      <c r="L58" s="8">
        <f>SUM(M58:Q58)+SUM(S58:X58)+SUM(AE58:AF58)+SUM(AH58:AM58)</f>
        <v>96</v>
      </c>
      <c r="M58" s="8">
        <v>18</v>
      </c>
      <c r="N58" s="8">
        <v>7</v>
      </c>
      <c r="O58" s="8"/>
      <c r="P58" s="8"/>
      <c r="Q58" s="8">
        <v>2</v>
      </c>
      <c r="R58" s="112">
        <f t="shared" si="3"/>
        <v>27</v>
      </c>
      <c r="S58" s="8">
        <v>26</v>
      </c>
      <c r="T58" s="8">
        <v>17</v>
      </c>
      <c r="U58" s="8"/>
      <c r="V58" s="8"/>
      <c r="W58" s="8"/>
      <c r="X58" s="8"/>
      <c r="Y58" s="8">
        <v>3</v>
      </c>
      <c r="Z58" s="8"/>
      <c r="AA58" s="8">
        <v>3</v>
      </c>
      <c r="AB58" s="8" t="s">
        <v>39</v>
      </c>
      <c r="AC58" s="8"/>
      <c r="AD58" s="112">
        <f>SUM(S58:AC58)</f>
        <v>49</v>
      </c>
      <c r="AE58" s="8"/>
      <c r="AF58" s="8"/>
      <c r="AG58" s="112">
        <f>SUM(M58:Q58)+SUM(S58:AC58)+SUM(AE58:AF58)</f>
        <v>76</v>
      </c>
      <c r="AH58" s="8"/>
      <c r="AI58" s="8"/>
      <c r="AJ58" s="8"/>
      <c r="AK58" s="8">
        <v>26</v>
      </c>
      <c r="AL58" s="8"/>
      <c r="AM58" s="8"/>
      <c r="AN58" s="8"/>
      <c r="AO58" s="112">
        <f t="shared" si="4"/>
        <v>26</v>
      </c>
      <c r="AP58" s="8">
        <f>SUM(M58:Q58)+SUM(S58:X58)+SUM(AE58:AF58)+SUM(AH58:AM58)</f>
        <v>96</v>
      </c>
      <c r="AQ58" s="8">
        <f>SUM(Y58:AC58)+AN58</f>
        <v>6</v>
      </c>
      <c r="AR58" s="113">
        <f t="shared" si="5"/>
        <v>102</v>
      </c>
    </row>
    <row r="59" spans="1:44" ht="20.100000000000001" customHeight="1" x14ac:dyDescent="0.3">
      <c r="A59" s="104" t="s">
        <v>87</v>
      </c>
      <c r="B59" s="4" t="s">
        <v>90</v>
      </c>
      <c r="C59" s="107">
        <v>25</v>
      </c>
      <c r="D59" s="108">
        <v>25</v>
      </c>
      <c r="E59" s="107">
        <f t="shared" si="1"/>
        <v>0</v>
      </c>
      <c r="F59" s="109"/>
      <c r="G59" s="84"/>
      <c r="H59" s="85"/>
      <c r="I59" s="97"/>
      <c r="J59" s="8"/>
      <c r="K59" s="8">
        <f t="shared" si="2"/>
        <v>25</v>
      </c>
      <c r="L59" s="8">
        <f>SUM(M59:Q59)+SUM(S59:X59)+SUM(AE59:AF59)+SUM(AH59:AM59)</f>
        <v>25</v>
      </c>
      <c r="M59" s="8">
        <v>4</v>
      </c>
      <c r="N59" s="8">
        <v>3</v>
      </c>
      <c r="O59" s="8"/>
      <c r="P59" s="8"/>
      <c r="Q59" s="8">
        <v>1</v>
      </c>
      <c r="R59" s="112">
        <f t="shared" si="3"/>
        <v>8</v>
      </c>
      <c r="S59" s="8">
        <v>7</v>
      </c>
      <c r="T59" s="8">
        <v>4</v>
      </c>
      <c r="U59" s="8"/>
      <c r="V59" s="8"/>
      <c r="W59" s="8"/>
      <c r="X59" s="8"/>
      <c r="Y59" s="8">
        <v>1</v>
      </c>
      <c r="Z59" s="8"/>
      <c r="AA59" s="8">
        <v>2</v>
      </c>
      <c r="AB59" s="8" t="s">
        <v>39</v>
      </c>
      <c r="AC59" s="8"/>
      <c r="AD59" s="112">
        <f>SUM(S59:AC59)</f>
        <v>14</v>
      </c>
      <c r="AE59" s="8"/>
      <c r="AF59" s="8"/>
      <c r="AG59" s="112">
        <f>SUM(M59:Q59)+SUM(S59:AC59)+SUM(AE59:AF59)</f>
        <v>22</v>
      </c>
      <c r="AH59" s="8"/>
      <c r="AI59" s="8"/>
      <c r="AJ59" s="8"/>
      <c r="AK59" s="8">
        <v>6</v>
      </c>
      <c r="AL59" s="8"/>
      <c r="AM59" s="8"/>
      <c r="AN59" s="8"/>
      <c r="AO59" s="112">
        <f t="shared" si="4"/>
        <v>6</v>
      </c>
      <c r="AP59" s="8">
        <f>SUM(M59:Q59)+SUM(S59:X59)+SUM(AE59:AF59)+SUM(AH59:AM59)</f>
        <v>25</v>
      </c>
      <c r="AQ59" s="8">
        <f>SUM(Y59:AC59)+AN59</f>
        <v>3</v>
      </c>
      <c r="AR59" s="113">
        <f t="shared" si="5"/>
        <v>28</v>
      </c>
    </row>
    <row r="60" spans="1:44" ht="20.100000000000001" customHeight="1" x14ac:dyDescent="0.3">
      <c r="A60" s="105" t="s">
        <v>36</v>
      </c>
      <c r="B60" s="7" t="s">
        <v>131</v>
      </c>
      <c r="C60" s="114">
        <f>SUM(C57:C59)</f>
        <v>167</v>
      </c>
      <c r="D60" s="115">
        <f t="shared" ref="D60:AR60" si="32">SUM(D57:D59)</f>
        <v>167</v>
      </c>
      <c r="E60" s="114">
        <f t="shared" si="32"/>
        <v>0</v>
      </c>
      <c r="F60" s="114">
        <f t="shared" si="32"/>
        <v>0</v>
      </c>
      <c r="G60" s="114">
        <f t="shared" si="32"/>
        <v>0</v>
      </c>
      <c r="H60" s="116">
        <f t="shared" si="32"/>
        <v>0</v>
      </c>
      <c r="I60" s="116">
        <f t="shared" si="32"/>
        <v>0</v>
      </c>
      <c r="J60" s="114">
        <f t="shared" si="32"/>
        <v>0</v>
      </c>
      <c r="K60" s="114">
        <f t="shared" si="32"/>
        <v>167</v>
      </c>
      <c r="L60" s="114">
        <f t="shared" si="32"/>
        <v>167</v>
      </c>
      <c r="M60" s="114">
        <f t="shared" si="32"/>
        <v>33</v>
      </c>
      <c r="N60" s="114">
        <f t="shared" si="32"/>
        <v>15</v>
      </c>
      <c r="O60" s="114">
        <f t="shared" si="32"/>
        <v>0</v>
      </c>
      <c r="P60" s="114">
        <f t="shared" si="32"/>
        <v>0</v>
      </c>
      <c r="Q60" s="114">
        <f t="shared" si="32"/>
        <v>5</v>
      </c>
      <c r="R60" s="114">
        <f t="shared" si="32"/>
        <v>53</v>
      </c>
      <c r="S60" s="114">
        <f t="shared" si="32"/>
        <v>44</v>
      </c>
      <c r="T60" s="114">
        <f t="shared" si="32"/>
        <v>29</v>
      </c>
      <c r="U60" s="114">
        <f t="shared" si="32"/>
        <v>0</v>
      </c>
      <c r="V60" s="114">
        <f t="shared" si="32"/>
        <v>0</v>
      </c>
      <c r="W60" s="114">
        <f t="shared" si="32"/>
        <v>2</v>
      </c>
      <c r="X60" s="114">
        <f t="shared" si="32"/>
        <v>0</v>
      </c>
      <c r="Y60" s="114">
        <f t="shared" si="32"/>
        <v>7</v>
      </c>
      <c r="Z60" s="114">
        <f t="shared" si="32"/>
        <v>0</v>
      </c>
      <c r="AA60" s="114">
        <f t="shared" si="32"/>
        <v>7</v>
      </c>
      <c r="AB60" s="114">
        <f t="shared" si="32"/>
        <v>0</v>
      </c>
      <c r="AC60" s="114">
        <f t="shared" si="32"/>
        <v>0</v>
      </c>
      <c r="AD60" s="114">
        <f t="shared" si="32"/>
        <v>89</v>
      </c>
      <c r="AE60" s="114">
        <f t="shared" si="32"/>
        <v>0</v>
      </c>
      <c r="AF60" s="114">
        <f t="shared" si="32"/>
        <v>0</v>
      </c>
      <c r="AG60" s="114">
        <f t="shared" si="32"/>
        <v>142</v>
      </c>
      <c r="AH60" s="114">
        <f t="shared" si="32"/>
        <v>0</v>
      </c>
      <c r="AI60" s="114">
        <f t="shared" si="32"/>
        <v>0</v>
      </c>
      <c r="AJ60" s="114">
        <f t="shared" si="32"/>
        <v>0</v>
      </c>
      <c r="AK60" s="114">
        <f t="shared" si="32"/>
        <v>39</v>
      </c>
      <c r="AL60" s="114">
        <f t="shared" si="32"/>
        <v>0</v>
      </c>
      <c r="AM60" s="114">
        <f t="shared" si="32"/>
        <v>0</v>
      </c>
      <c r="AN60" s="114">
        <f t="shared" si="32"/>
        <v>0</v>
      </c>
      <c r="AO60" s="114">
        <f t="shared" si="32"/>
        <v>39</v>
      </c>
      <c r="AP60" s="114">
        <f t="shared" si="32"/>
        <v>167</v>
      </c>
      <c r="AQ60" s="114">
        <f t="shared" si="32"/>
        <v>14</v>
      </c>
      <c r="AR60" s="117">
        <f t="shared" si="32"/>
        <v>181</v>
      </c>
    </row>
    <row r="61" spans="1:44" ht="20.100000000000001" customHeight="1" x14ac:dyDescent="0.3">
      <c r="A61" s="104" t="s">
        <v>91</v>
      </c>
      <c r="B61" s="4" t="s">
        <v>92</v>
      </c>
      <c r="C61" s="107">
        <v>40</v>
      </c>
      <c r="D61" s="108">
        <v>40</v>
      </c>
      <c r="E61" s="107">
        <f t="shared" si="1"/>
        <v>0</v>
      </c>
      <c r="F61" s="109"/>
      <c r="G61" s="106" t="s">
        <v>199</v>
      </c>
      <c r="H61" s="123" t="s">
        <v>200</v>
      </c>
      <c r="I61" s="97"/>
      <c r="J61" s="8"/>
      <c r="K61" s="111">
        <f t="shared" si="2"/>
        <v>40</v>
      </c>
      <c r="L61" s="111">
        <f>SUM(M61:Q61)+SUM(S61:X61)+SUM(AE61:AF61)+SUM(AH61:AM61)</f>
        <v>40</v>
      </c>
      <c r="M61" s="111">
        <v>4</v>
      </c>
      <c r="N61" s="111"/>
      <c r="O61" s="111"/>
      <c r="P61" s="111"/>
      <c r="Q61" s="111"/>
      <c r="R61" s="112">
        <f t="shared" si="3"/>
        <v>4</v>
      </c>
      <c r="S61" s="8">
        <v>15</v>
      </c>
      <c r="T61" s="111">
        <v>10</v>
      </c>
      <c r="U61" s="111"/>
      <c r="V61" s="111">
        <v>1</v>
      </c>
      <c r="W61" s="111"/>
      <c r="X61" s="111"/>
      <c r="Y61" s="111"/>
      <c r="Z61" s="111"/>
      <c r="AA61" s="111"/>
      <c r="AB61" s="111"/>
      <c r="AC61" s="111"/>
      <c r="AD61" s="112">
        <f>SUM(S61:AC61)</f>
        <v>26</v>
      </c>
      <c r="AE61" s="111"/>
      <c r="AF61" s="111"/>
      <c r="AG61" s="112">
        <f>SUM(M61:Q61)+SUM(S61:AC61)+SUM(AE61:AF61)</f>
        <v>30</v>
      </c>
      <c r="AH61" s="8">
        <v>10</v>
      </c>
      <c r="AI61" s="8"/>
      <c r="AJ61" s="111"/>
      <c r="AK61" s="111"/>
      <c r="AL61" s="111"/>
      <c r="AM61" s="111"/>
      <c r="AN61" s="111"/>
      <c r="AO61" s="112">
        <f t="shared" si="4"/>
        <v>10</v>
      </c>
      <c r="AP61" s="111">
        <f>SUM(M61:Q61)+SUM(S61:X61)+SUM(AE61:AF61)+SUM(AH61:AM61)</f>
        <v>40</v>
      </c>
      <c r="AQ61" s="111">
        <f>SUM(Y61:AC61)+AN61</f>
        <v>0</v>
      </c>
      <c r="AR61" s="113">
        <f t="shared" si="5"/>
        <v>40</v>
      </c>
    </row>
    <row r="62" spans="1:44" ht="20.100000000000001" customHeight="1" x14ac:dyDescent="0.3">
      <c r="A62" s="105" t="s">
        <v>36</v>
      </c>
      <c r="B62" s="7" t="s">
        <v>132</v>
      </c>
      <c r="C62" s="114">
        <f>SUM(C61)</f>
        <v>40</v>
      </c>
      <c r="D62" s="115">
        <f t="shared" ref="D62:AR62" si="33">SUM(D61)</f>
        <v>40</v>
      </c>
      <c r="E62" s="114">
        <f t="shared" si="33"/>
        <v>0</v>
      </c>
      <c r="F62" s="114">
        <f t="shared" si="33"/>
        <v>0</v>
      </c>
      <c r="G62" s="114">
        <f t="shared" si="33"/>
        <v>0</v>
      </c>
      <c r="H62" s="116">
        <f t="shared" si="33"/>
        <v>0</v>
      </c>
      <c r="I62" s="116">
        <f t="shared" si="33"/>
        <v>0</v>
      </c>
      <c r="J62" s="114">
        <f t="shared" si="33"/>
        <v>0</v>
      </c>
      <c r="K62" s="114">
        <f t="shared" si="33"/>
        <v>40</v>
      </c>
      <c r="L62" s="114">
        <f t="shared" si="33"/>
        <v>40</v>
      </c>
      <c r="M62" s="114">
        <f t="shared" si="33"/>
        <v>4</v>
      </c>
      <c r="N62" s="114">
        <f t="shared" si="33"/>
        <v>0</v>
      </c>
      <c r="O62" s="114">
        <f t="shared" si="33"/>
        <v>0</v>
      </c>
      <c r="P62" s="114">
        <f t="shared" si="33"/>
        <v>0</v>
      </c>
      <c r="Q62" s="114">
        <f t="shared" si="33"/>
        <v>0</v>
      </c>
      <c r="R62" s="114">
        <f t="shared" si="33"/>
        <v>4</v>
      </c>
      <c r="S62" s="114">
        <f t="shared" si="33"/>
        <v>15</v>
      </c>
      <c r="T62" s="114">
        <f t="shared" si="33"/>
        <v>10</v>
      </c>
      <c r="U62" s="114">
        <f t="shared" si="33"/>
        <v>0</v>
      </c>
      <c r="V62" s="114">
        <f t="shared" si="33"/>
        <v>1</v>
      </c>
      <c r="W62" s="114">
        <f t="shared" si="33"/>
        <v>0</v>
      </c>
      <c r="X62" s="114">
        <f t="shared" si="33"/>
        <v>0</v>
      </c>
      <c r="Y62" s="114">
        <f t="shared" si="33"/>
        <v>0</v>
      </c>
      <c r="Z62" s="114">
        <f t="shared" si="33"/>
        <v>0</v>
      </c>
      <c r="AA62" s="114">
        <f t="shared" si="33"/>
        <v>0</v>
      </c>
      <c r="AB62" s="114">
        <f t="shared" si="33"/>
        <v>0</v>
      </c>
      <c r="AC62" s="114">
        <f t="shared" si="33"/>
        <v>0</v>
      </c>
      <c r="AD62" s="114">
        <f t="shared" si="33"/>
        <v>26</v>
      </c>
      <c r="AE62" s="114">
        <f t="shared" si="33"/>
        <v>0</v>
      </c>
      <c r="AF62" s="114">
        <f t="shared" si="33"/>
        <v>0</v>
      </c>
      <c r="AG62" s="114">
        <f t="shared" si="33"/>
        <v>30</v>
      </c>
      <c r="AH62" s="114">
        <f t="shared" si="33"/>
        <v>10</v>
      </c>
      <c r="AI62" s="114">
        <f t="shared" si="33"/>
        <v>0</v>
      </c>
      <c r="AJ62" s="114">
        <f t="shared" si="33"/>
        <v>0</v>
      </c>
      <c r="AK62" s="114">
        <f t="shared" si="33"/>
        <v>0</v>
      </c>
      <c r="AL62" s="114">
        <f t="shared" si="33"/>
        <v>0</v>
      </c>
      <c r="AM62" s="114">
        <f t="shared" si="33"/>
        <v>0</v>
      </c>
      <c r="AN62" s="114">
        <f t="shared" si="33"/>
        <v>0</v>
      </c>
      <c r="AO62" s="114">
        <f t="shared" si="33"/>
        <v>10</v>
      </c>
      <c r="AP62" s="114">
        <f t="shared" si="33"/>
        <v>40</v>
      </c>
      <c r="AQ62" s="114">
        <f t="shared" si="33"/>
        <v>0</v>
      </c>
      <c r="AR62" s="117">
        <f t="shared" si="33"/>
        <v>40</v>
      </c>
    </row>
    <row r="63" spans="1:44" ht="20.100000000000001" customHeight="1" x14ac:dyDescent="0.3">
      <c r="A63" s="104" t="s">
        <v>95</v>
      </c>
      <c r="B63" s="4" t="s">
        <v>96</v>
      </c>
      <c r="C63" s="107">
        <v>50</v>
      </c>
      <c r="D63" s="108">
        <v>50</v>
      </c>
      <c r="E63" s="107">
        <f t="shared" si="1"/>
        <v>0</v>
      </c>
      <c r="F63" s="109"/>
      <c r="G63" s="106" t="s">
        <v>201</v>
      </c>
      <c r="H63" s="110" t="s">
        <v>183</v>
      </c>
      <c r="I63" s="97"/>
      <c r="J63" s="8"/>
      <c r="K63" s="8">
        <f t="shared" si="2"/>
        <v>50</v>
      </c>
      <c r="L63" s="8">
        <f>SUM(M63:Q63)+SUM(S63:X63)+SUM(AE63:AF63)+SUM(AH63:AM63)</f>
        <v>50</v>
      </c>
      <c r="M63" s="8"/>
      <c r="N63" s="8">
        <v>9</v>
      </c>
      <c r="O63" s="8"/>
      <c r="P63" s="8"/>
      <c r="Q63" s="8"/>
      <c r="R63" s="112">
        <f t="shared" si="3"/>
        <v>9</v>
      </c>
      <c r="S63" s="8">
        <v>13</v>
      </c>
      <c r="T63" s="8">
        <v>15</v>
      </c>
      <c r="U63" s="8"/>
      <c r="V63" s="8">
        <v>1</v>
      </c>
      <c r="W63" s="8"/>
      <c r="X63" s="8"/>
      <c r="Y63" s="8"/>
      <c r="Z63" s="8">
        <v>4</v>
      </c>
      <c r="AA63" s="8"/>
      <c r="AB63" s="8"/>
      <c r="AC63" s="8"/>
      <c r="AD63" s="112">
        <f>SUM(S63:AC63)</f>
        <v>33</v>
      </c>
      <c r="AE63" s="8"/>
      <c r="AF63" s="8"/>
      <c r="AG63" s="112">
        <f>SUM(M63:Q63)+SUM(S63:AC63)+SUM(AE63:AF63)</f>
        <v>42</v>
      </c>
      <c r="AH63" s="8">
        <v>9</v>
      </c>
      <c r="AI63" s="8">
        <v>3</v>
      </c>
      <c r="AJ63" s="8"/>
      <c r="AK63" s="8"/>
      <c r="AL63" s="8"/>
      <c r="AM63" s="8"/>
      <c r="AN63" s="8"/>
      <c r="AO63" s="112">
        <f t="shared" si="4"/>
        <v>12</v>
      </c>
      <c r="AP63" s="111">
        <f>SUM(M63:Q63)+SUM(S63:X63)+SUM(AE63:AF63)+SUM(AH63:AM63)</f>
        <v>50</v>
      </c>
      <c r="AQ63" s="111">
        <f>SUM(Y63:AC63)+AN63</f>
        <v>4</v>
      </c>
      <c r="AR63" s="113">
        <f t="shared" si="5"/>
        <v>54</v>
      </c>
    </row>
    <row r="64" spans="1:44" ht="20.100000000000001" customHeight="1" x14ac:dyDescent="0.3">
      <c r="A64" s="105" t="s">
        <v>36</v>
      </c>
      <c r="B64" s="7" t="s">
        <v>134</v>
      </c>
      <c r="C64" s="114">
        <f>SUM(C63)</f>
        <v>50</v>
      </c>
      <c r="D64" s="115">
        <f t="shared" ref="D64:AR64" si="34">SUM(D63)</f>
        <v>50</v>
      </c>
      <c r="E64" s="114">
        <f t="shared" si="34"/>
        <v>0</v>
      </c>
      <c r="F64" s="114">
        <f t="shared" si="34"/>
        <v>0</v>
      </c>
      <c r="G64" s="114">
        <f t="shared" si="34"/>
        <v>0</v>
      </c>
      <c r="H64" s="116">
        <f t="shared" si="34"/>
        <v>0</v>
      </c>
      <c r="I64" s="116">
        <f t="shared" si="34"/>
        <v>0</v>
      </c>
      <c r="J64" s="114">
        <f t="shared" si="34"/>
        <v>0</v>
      </c>
      <c r="K64" s="114">
        <f t="shared" si="34"/>
        <v>50</v>
      </c>
      <c r="L64" s="114">
        <f t="shared" si="34"/>
        <v>50</v>
      </c>
      <c r="M64" s="114">
        <f t="shared" si="34"/>
        <v>0</v>
      </c>
      <c r="N64" s="114">
        <f t="shared" si="34"/>
        <v>9</v>
      </c>
      <c r="O64" s="114">
        <f t="shared" si="34"/>
        <v>0</v>
      </c>
      <c r="P64" s="114">
        <f t="shared" si="34"/>
        <v>0</v>
      </c>
      <c r="Q64" s="114">
        <f t="shared" si="34"/>
        <v>0</v>
      </c>
      <c r="R64" s="114">
        <f t="shared" si="34"/>
        <v>9</v>
      </c>
      <c r="S64" s="114">
        <f t="shared" si="34"/>
        <v>13</v>
      </c>
      <c r="T64" s="114">
        <f t="shared" si="34"/>
        <v>15</v>
      </c>
      <c r="U64" s="114">
        <f t="shared" si="34"/>
        <v>0</v>
      </c>
      <c r="V64" s="114">
        <f t="shared" si="34"/>
        <v>1</v>
      </c>
      <c r="W64" s="114">
        <f t="shared" si="34"/>
        <v>0</v>
      </c>
      <c r="X64" s="114">
        <f t="shared" si="34"/>
        <v>0</v>
      </c>
      <c r="Y64" s="114">
        <f t="shared" si="34"/>
        <v>0</v>
      </c>
      <c r="Z64" s="114">
        <f t="shared" si="34"/>
        <v>4</v>
      </c>
      <c r="AA64" s="114">
        <f t="shared" si="34"/>
        <v>0</v>
      </c>
      <c r="AB64" s="114">
        <f t="shared" si="34"/>
        <v>0</v>
      </c>
      <c r="AC64" s="114">
        <f t="shared" si="34"/>
        <v>0</v>
      </c>
      <c r="AD64" s="114">
        <f t="shared" si="34"/>
        <v>33</v>
      </c>
      <c r="AE64" s="114">
        <f t="shared" si="34"/>
        <v>0</v>
      </c>
      <c r="AF64" s="114">
        <f t="shared" si="34"/>
        <v>0</v>
      </c>
      <c r="AG64" s="114">
        <f t="shared" si="34"/>
        <v>42</v>
      </c>
      <c r="AH64" s="114">
        <f t="shared" si="34"/>
        <v>9</v>
      </c>
      <c r="AI64" s="114">
        <f t="shared" si="34"/>
        <v>3</v>
      </c>
      <c r="AJ64" s="114">
        <f t="shared" si="34"/>
        <v>0</v>
      </c>
      <c r="AK64" s="114">
        <f t="shared" si="34"/>
        <v>0</v>
      </c>
      <c r="AL64" s="114">
        <f t="shared" si="34"/>
        <v>0</v>
      </c>
      <c r="AM64" s="114">
        <f t="shared" si="34"/>
        <v>0</v>
      </c>
      <c r="AN64" s="114">
        <f t="shared" si="34"/>
        <v>0</v>
      </c>
      <c r="AO64" s="114">
        <f t="shared" si="34"/>
        <v>12</v>
      </c>
      <c r="AP64" s="114">
        <f t="shared" si="34"/>
        <v>50</v>
      </c>
      <c r="AQ64" s="114">
        <f t="shared" si="34"/>
        <v>4</v>
      </c>
      <c r="AR64" s="117">
        <f t="shared" si="34"/>
        <v>54</v>
      </c>
    </row>
    <row r="65" spans="1:44" ht="20.100000000000001" customHeight="1" x14ac:dyDescent="0.3">
      <c r="A65" s="104" t="s">
        <v>93</v>
      </c>
      <c r="B65" s="4" t="s">
        <v>94</v>
      </c>
      <c r="C65" s="107">
        <v>49</v>
      </c>
      <c r="D65" s="108">
        <v>132</v>
      </c>
      <c r="E65" s="107">
        <f>D65-C65</f>
        <v>83</v>
      </c>
      <c r="F65" s="109"/>
      <c r="G65" s="106" t="s">
        <v>202</v>
      </c>
      <c r="H65" s="110" t="s">
        <v>183</v>
      </c>
      <c r="I65" s="124" t="s">
        <v>203</v>
      </c>
      <c r="J65" s="8"/>
      <c r="K65" s="111">
        <f>D65+J65</f>
        <v>132</v>
      </c>
      <c r="L65" s="111">
        <f>SUM(M65:Q65)+SUM(S65:X65)+SUM(AE65:AF65)+SUM(AH65:AM65)</f>
        <v>132</v>
      </c>
      <c r="M65" s="8"/>
      <c r="N65" s="8">
        <v>20</v>
      </c>
      <c r="O65" s="8">
        <v>30</v>
      </c>
      <c r="P65" s="8"/>
      <c r="Q65" s="111"/>
      <c r="R65" s="112">
        <f>SUM(M65:Q65)</f>
        <v>50</v>
      </c>
      <c r="S65" s="8">
        <v>20</v>
      </c>
      <c r="T65" s="8">
        <v>32</v>
      </c>
      <c r="U65" s="8"/>
      <c r="V65" s="8">
        <v>3</v>
      </c>
      <c r="W65" s="111"/>
      <c r="X65" s="111"/>
      <c r="Y65" s="111"/>
      <c r="Z65" s="111"/>
      <c r="AA65" s="111"/>
      <c r="AB65" s="111"/>
      <c r="AC65" s="111"/>
      <c r="AD65" s="112">
        <f>SUM(S65:AC65)</f>
        <v>55</v>
      </c>
      <c r="AE65" s="111"/>
      <c r="AF65" s="111"/>
      <c r="AG65" s="112">
        <f>SUM(M65:Q65)+SUM(S65:AC65)+SUM(AE65:AF65)</f>
        <v>105</v>
      </c>
      <c r="AH65" s="8">
        <v>13</v>
      </c>
      <c r="AI65" s="8">
        <v>14</v>
      </c>
      <c r="AJ65" s="111"/>
      <c r="AK65" s="111"/>
      <c r="AL65" s="111"/>
      <c r="AM65" s="111"/>
      <c r="AN65" s="111"/>
      <c r="AO65" s="112">
        <f>SUM(AH65:AN65)</f>
        <v>27</v>
      </c>
      <c r="AP65" s="111">
        <f>SUM(M65:Q65)+SUM(S65:X65)+SUM(AE65:AF65)+SUM(AH65:AM65)</f>
        <v>132</v>
      </c>
      <c r="AQ65" s="111">
        <f>SUM(Y65:AC65)+AN65</f>
        <v>0</v>
      </c>
      <c r="AR65" s="113">
        <f>AP65+AQ65</f>
        <v>132</v>
      </c>
    </row>
    <row r="66" spans="1:44" ht="20.100000000000001" customHeight="1" x14ac:dyDescent="0.3">
      <c r="A66" s="105" t="s">
        <v>36</v>
      </c>
      <c r="B66" s="7" t="s">
        <v>133</v>
      </c>
      <c r="C66" s="114">
        <f>SUM(C65)</f>
        <v>49</v>
      </c>
      <c r="D66" s="115">
        <f t="shared" ref="D66:AR66" si="35">SUM(D65)</f>
        <v>132</v>
      </c>
      <c r="E66" s="114">
        <f t="shared" si="35"/>
        <v>83</v>
      </c>
      <c r="F66" s="114">
        <f t="shared" si="35"/>
        <v>0</v>
      </c>
      <c r="G66" s="114">
        <f t="shared" si="35"/>
        <v>0</v>
      </c>
      <c r="H66" s="116">
        <f t="shared" si="35"/>
        <v>0</v>
      </c>
      <c r="I66" s="116">
        <f t="shared" si="35"/>
        <v>0</v>
      </c>
      <c r="J66" s="114">
        <f t="shared" si="35"/>
        <v>0</v>
      </c>
      <c r="K66" s="114">
        <f t="shared" si="35"/>
        <v>132</v>
      </c>
      <c r="L66" s="114">
        <f t="shared" si="35"/>
        <v>132</v>
      </c>
      <c r="M66" s="114">
        <f t="shared" si="35"/>
        <v>0</v>
      </c>
      <c r="N66" s="114">
        <f t="shared" si="35"/>
        <v>20</v>
      </c>
      <c r="O66" s="114">
        <f t="shared" si="35"/>
        <v>30</v>
      </c>
      <c r="P66" s="114">
        <f t="shared" si="35"/>
        <v>0</v>
      </c>
      <c r="Q66" s="114">
        <f t="shared" si="35"/>
        <v>0</v>
      </c>
      <c r="R66" s="114">
        <f t="shared" si="35"/>
        <v>50</v>
      </c>
      <c r="S66" s="114">
        <f t="shared" si="35"/>
        <v>20</v>
      </c>
      <c r="T66" s="114">
        <f t="shared" si="35"/>
        <v>32</v>
      </c>
      <c r="U66" s="114">
        <f t="shared" si="35"/>
        <v>0</v>
      </c>
      <c r="V66" s="114">
        <f t="shared" si="35"/>
        <v>3</v>
      </c>
      <c r="W66" s="114">
        <f t="shared" si="35"/>
        <v>0</v>
      </c>
      <c r="X66" s="114">
        <f t="shared" si="35"/>
        <v>0</v>
      </c>
      <c r="Y66" s="114">
        <f t="shared" si="35"/>
        <v>0</v>
      </c>
      <c r="Z66" s="114">
        <f t="shared" si="35"/>
        <v>0</v>
      </c>
      <c r="AA66" s="114">
        <f t="shared" si="35"/>
        <v>0</v>
      </c>
      <c r="AB66" s="114">
        <f t="shared" si="35"/>
        <v>0</v>
      </c>
      <c r="AC66" s="114">
        <f t="shared" si="35"/>
        <v>0</v>
      </c>
      <c r="AD66" s="114">
        <f t="shared" si="35"/>
        <v>55</v>
      </c>
      <c r="AE66" s="114">
        <f t="shared" si="35"/>
        <v>0</v>
      </c>
      <c r="AF66" s="114">
        <f t="shared" si="35"/>
        <v>0</v>
      </c>
      <c r="AG66" s="114">
        <f t="shared" si="35"/>
        <v>105</v>
      </c>
      <c r="AH66" s="114">
        <f t="shared" si="35"/>
        <v>13</v>
      </c>
      <c r="AI66" s="114">
        <f t="shared" si="35"/>
        <v>14</v>
      </c>
      <c r="AJ66" s="114">
        <f t="shared" si="35"/>
        <v>0</v>
      </c>
      <c r="AK66" s="114">
        <f t="shared" si="35"/>
        <v>0</v>
      </c>
      <c r="AL66" s="114">
        <f t="shared" si="35"/>
        <v>0</v>
      </c>
      <c r="AM66" s="114">
        <f t="shared" si="35"/>
        <v>0</v>
      </c>
      <c r="AN66" s="114">
        <f t="shared" si="35"/>
        <v>0</v>
      </c>
      <c r="AO66" s="114">
        <f t="shared" si="35"/>
        <v>27</v>
      </c>
      <c r="AP66" s="114">
        <f t="shared" si="35"/>
        <v>132</v>
      </c>
      <c r="AQ66" s="114">
        <f t="shared" si="35"/>
        <v>0</v>
      </c>
      <c r="AR66" s="117">
        <f t="shared" si="35"/>
        <v>132</v>
      </c>
    </row>
    <row r="67" spans="1:44" ht="20.100000000000001" customHeight="1" x14ac:dyDescent="0.3">
      <c r="A67" s="104" t="s">
        <v>97</v>
      </c>
      <c r="B67" s="4" t="s">
        <v>98</v>
      </c>
      <c r="C67" s="107">
        <v>25</v>
      </c>
      <c r="D67" s="108">
        <v>25</v>
      </c>
      <c r="E67" s="107">
        <f t="shared" si="1"/>
        <v>0</v>
      </c>
      <c r="F67" s="109"/>
      <c r="G67" s="84"/>
      <c r="H67" s="85"/>
      <c r="I67" s="97"/>
      <c r="J67" s="8"/>
      <c r="K67" s="111">
        <f t="shared" si="2"/>
        <v>25</v>
      </c>
      <c r="L67" s="111">
        <f>SUM(M67:Q67)+SUM(S67:X67)+SUM(AE67:AF67)+SUM(AH67:AM67)</f>
        <v>25</v>
      </c>
      <c r="M67" s="111">
        <v>5</v>
      </c>
      <c r="N67" s="111">
        <v>3</v>
      </c>
      <c r="O67" s="111"/>
      <c r="P67" s="111"/>
      <c r="Q67" s="111">
        <v>1</v>
      </c>
      <c r="R67" s="112">
        <f t="shared" si="3"/>
        <v>9</v>
      </c>
      <c r="S67" s="111">
        <v>7</v>
      </c>
      <c r="T67" s="111">
        <v>4</v>
      </c>
      <c r="U67" s="111"/>
      <c r="V67" s="111"/>
      <c r="W67" s="111"/>
      <c r="X67" s="111"/>
      <c r="Y67" s="111">
        <v>2</v>
      </c>
      <c r="Z67" s="111"/>
      <c r="AA67" s="111"/>
      <c r="AB67" s="111" t="s">
        <v>39</v>
      </c>
      <c r="AC67" s="111"/>
      <c r="AD67" s="112">
        <f>SUM(S67:AC67)</f>
        <v>13</v>
      </c>
      <c r="AE67" s="111"/>
      <c r="AF67" s="111"/>
      <c r="AG67" s="112">
        <f>SUM(M67:Q67)+SUM(S67:AC67)+SUM(AE67:AF67)</f>
        <v>22</v>
      </c>
      <c r="AH67" s="111">
        <v>5</v>
      </c>
      <c r="AI67" s="111"/>
      <c r="AJ67" s="111"/>
      <c r="AK67" s="111"/>
      <c r="AL67" s="111"/>
      <c r="AM67" s="111"/>
      <c r="AN67" s="111"/>
      <c r="AO67" s="112">
        <f t="shared" si="4"/>
        <v>5</v>
      </c>
      <c r="AP67" s="111">
        <f>SUM(M67:Q67)+SUM(S67:X67)+SUM(AE67:AF67)+SUM(AH67:AM67)</f>
        <v>25</v>
      </c>
      <c r="AQ67" s="111">
        <f>SUM(Y67:AC67)+AN67</f>
        <v>2</v>
      </c>
      <c r="AR67" s="113">
        <f t="shared" si="5"/>
        <v>27</v>
      </c>
    </row>
    <row r="68" spans="1:44" ht="20.100000000000001" customHeight="1" x14ac:dyDescent="0.3">
      <c r="A68" s="104" t="s">
        <v>97</v>
      </c>
      <c r="B68" s="4" t="s">
        <v>99</v>
      </c>
      <c r="C68" s="107">
        <v>26</v>
      </c>
      <c r="D68" s="108">
        <v>26</v>
      </c>
      <c r="E68" s="107">
        <f t="shared" si="1"/>
        <v>0</v>
      </c>
      <c r="F68" s="109"/>
      <c r="G68" s="84"/>
      <c r="H68" s="85"/>
      <c r="I68" s="85"/>
      <c r="J68" s="8"/>
      <c r="K68" s="111">
        <f t="shared" si="2"/>
        <v>26</v>
      </c>
      <c r="L68" s="111">
        <f>SUM(M68:Q68)+SUM(S68:X68)+SUM(AE68:AF68)+SUM(AH68:AM68)</f>
        <v>26</v>
      </c>
      <c r="M68" s="111">
        <v>6</v>
      </c>
      <c r="N68" s="111">
        <v>3</v>
      </c>
      <c r="O68" s="111"/>
      <c r="P68" s="111"/>
      <c r="Q68" s="111">
        <v>1</v>
      </c>
      <c r="R68" s="112">
        <f t="shared" si="3"/>
        <v>10</v>
      </c>
      <c r="S68" s="111">
        <v>7</v>
      </c>
      <c r="T68" s="111">
        <v>4</v>
      </c>
      <c r="U68" s="111"/>
      <c r="V68" s="111"/>
      <c r="W68" s="111"/>
      <c r="X68" s="111"/>
      <c r="Y68" s="111">
        <v>2</v>
      </c>
      <c r="Z68" s="111"/>
      <c r="AA68" s="111"/>
      <c r="AB68" s="111" t="s">
        <v>39</v>
      </c>
      <c r="AC68" s="111"/>
      <c r="AD68" s="112">
        <f>SUM(S68:AC68)</f>
        <v>13</v>
      </c>
      <c r="AE68" s="111"/>
      <c r="AF68" s="111"/>
      <c r="AG68" s="112">
        <f>SUM(M68:Q68)+SUM(S68:AC68)+SUM(AE68:AF68)</f>
        <v>23</v>
      </c>
      <c r="AH68" s="111">
        <v>5</v>
      </c>
      <c r="AI68" s="111"/>
      <c r="AJ68" s="111"/>
      <c r="AK68" s="111"/>
      <c r="AL68" s="111"/>
      <c r="AM68" s="111"/>
      <c r="AN68" s="111"/>
      <c r="AO68" s="112">
        <f t="shared" si="4"/>
        <v>5</v>
      </c>
      <c r="AP68" s="111">
        <f>SUM(M68:Q68)+SUM(S68:X68)+SUM(AE68:AF68)+SUM(AH68:AM68)</f>
        <v>26</v>
      </c>
      <c r="AQ68" s="111">
        <f>SUM(Y68:AC68)+AN68</f>
        <v>2</v>
      </c>
      <c r="AR68" s="113">
        <f t="shared" si="5"/>
        <v>28</v>
      </c>
    </row>
    <row r="69" spans="1:44" ht="20.100000000000001" customHeight="1" x14ac:dyDescent="0.3">
      <c r="A69" s="104" t="s">
        <v>97</v>
      </c>
      <c r="B69" s="4" t="s">
        <v>100</v>
      </c>
      <c r="C69" s="107">
        <v>21</v>
      </c>
      <c r="D69" s="108">
        <v>22</v>
      </c>
      <c r="E69" s="121">
        <f t="shared" si="1"/>
        <v>1</v>
      </c>
      <c r="F69" s="109" t="s">
        <v>174</v>
      </c>
      <c r="G69" s="106" t="s">
        <v>189</v>
      </c>
      <c r="H69" s="110" t="s">
        <v>183</v>
      </c>
      <c r="I69" s="97"/>
      <c r="J69" s="8"/>
      <c r="K69" s="111">
        <f t="shared" si="2"/>
        <v>22</v>
      </c>
      <c r="L69" s="111">
        <f>SUM(M69:Q69)+SUM(S69:X69)+SUM(AE69:AF69)+SUM(AH69:AM69)</f>
        <v>22</v>
      </c>
      <c r="M69" s="111">
        <v>4</v>
      </c>
      <c r="N69" s="111">
        <v>3</v>
      </c>
      <c r="O69" s="111"/>
      <c r="P69" s="111"/>
      <c r="Q69" s="111">
        <v>1</v>
      </c>
      <c r="R69" s="112">
        <f t="shared" si="3"/>
        <v>8</v>
      </c>
      <c r="S69" s="111">
        <v>6</v>
      </c>
      <c r="T69" s="8">
        <v>4</v>
      </c>
      <c r="U69" s="111"/>
      <c r="V69" s="111"/>
      <c r="W69" s="111"/>
      <c r="X69" s="111"/>
      <c r="Y69" s="111">
        <v>2</v>
      </c>
      <c r="Z69" s="111"/>
      <c r="AA69" s="111"/>
      <c r="AB69" s="111" t="s">
        <v>39</v>
      </c>
      <c r="AC69" s="111"/>
      <c r="AD69" s="112">
        <f>SUM(S69:AC69)</f>
        <v>12</v>
      </c>
      <c r="AE69" s="111"/>
      <c r="AF69" s="111"/>
      <c r="AG69" s="112">
        <f>SUM(M69:Q69)+SUM(S69:AC69)+SUM(AE69:AF69)</f>
        <v>20</v>
      </c>
      <c r="AH69" s="111">
        <v>4</v>
      </c>
      <c r="AI69" s="111"/>
      <c r="AJ69" s="111"/>
      <c r="AK69" s="111"/>
      <c r="AL69" s="111"/>
      <c r="AM69" s="111"/>
      <c r="AN69" s="111"/>
      <c r="AO69" s="112">
        <f t="shared" si="4"/>
        <v>4</v>
      </c>
      <c r="AP69" s="111">
        <f>SUM(M69:Q69)+SUM(S69:X69)+SUM(AE69:AF69)+SUM(AH69:AM69)</f>
        <v>22</v>
      </c>
      <c r="AQ69" s="111">
        <f>SUM(Y69:AC69)+AN69</f>
        <v>2</v>
      </c>
      <c r="AR69" s="113">
        <f t="shared" si="5"/>
        <v>24</v>
      </c>
    </row>
    <row r="70" spans="1:44" ht="20.100000000000001" customHeight="1" x14ac:dyDescent="0.3">
      <c r="A70" s="104" t="s">
        <v>97</v>
      </c>
      <c r="B70" s="4" t="s">
        <v>101</v>
      </c>
      <c r="C70" s="107">
        <v>59</v>
      </c>
      <c r="D70" s="108">
        <v>59</v>
      </c>
      <c r="E70" s="107">
        <f t="shared" si="1"/>
        <v>0</v>
      </c>
      <c r="F70" s="109"/>
      <c r="G70" s="84"/>
      <c r="H70" s="85"/>
      <c r="I70" s="85"/>
      <c r="J70" s="8"/>
      <c r="K70" s="111">
        <f t="shared" si="2"/>
        <v>59</v>
      </c>
      <c r="L70" s="111">
        <f>SUM(M70:Q70)+SUM(S70:X70)+SUM(AE70:AF70)+SUM(AH70:AM70)</f>
        <v>59</v>
      </c>
      <c r="M70" s="111">
        <v>12</v>
      </c>
      <c r="N70" s="111">
        <v>5</v>
      </c>
      <c r="O70" s="111"/>
      <c r="P70" s="111"/>
      <c r="Q70" s="111">
        <v>1</v>
      </c>
      <c r="R70" s="112">
        <f t="shared" si="3"/>
        <v>18</v>
      </c>
      <c r="S70" s="111">
        <v>14</v>
      </c>
      <c r="T70" s="111">
        <v>10</v>
      </c>
      <c r="U70" s="111"/>
      <c r="V70" s="111"/>
      <c r="W70" s="111">
        <v>2</v>
      </c>
      <c r="X70" s="111"/>
      <c r="Y70" s="111">
        <v>2</v>
      </c>
      <c r="Z70" s="111"/>
      <c r="AA70" s="111"/>
      <c r="AB70" s="111" t="s">
        <v>39</v>
      </c>
      <c r="AC70" s="111"/>
      <c r="AD70" s="112">
        <f>SUM(S70:AC70)</f>
        <v>28</v>
      </c>
      <c r="AE70" s="111"/>
      <c r="AF70" s="111"/>
      <c r="AG70" s="112">
        <f>SUM(M70:Q70)+SUM(S70:AC70)+SUM(AE70:AF70)</f>
        <v>46</v>
      </c>
      <c r="AH70" s="111">
        <v>15</v>
      </c>
      <c r="AI70" s="111"/>
      <c r="AJ70" s="111"/>
      <c r="AK70" s="111"/>
      <c r="AL70" s="111"/>
      <c r="AM70" s="111"/>
      <c r="AN70" s="111"/>
      <c r="AO70" s="112">
        <f t="shared" si="4"/>
        <v>15</v>
      </c>
      <c r="AP70" s="111">
        <f>SUM(M70:Q70)+SUM(S70:X70)+SUM(AE70:AF70)+SUM(AH70:AM70)</f>
        <v>59</v>
      </c>
      <c r="AQ70" s="111">
        <f>SUM(Y70:AC70)+AN70</f>
        <v>2</v>
      </c>
      <c r="AR70" s="113">
        <f t="shared" si="5"/>
        <v>61</v>
      </c>
    </row>
    <row r="71" spans="1:44" ht="20.100000000000001" customHeight="1" x14ac:dyDescent="0.3">
      <c r="A71" s="105" t="s">
        <v>36</v>
      </c>
      <c r="B71" s="7" t="s">
        <v>135</v>
      </c>
      <c r="C71" s="114">
        <f>SUM(C67:C70)</f>
        <v>131</v>
      </c>
      <c r="D71" s="115">
        <f t="shared" ref="D71:AR71" si="36">SUM(D67:D70)</f>
        <v>132</v>
      </c>
      <c r="E71" s="114">
        <f t="shared" si="36"/>
        <v>1</v>
      </c>
      <c r="F71" s="114">
        <f t="shared" si="36"/>
        <v>0</v>
      </c>
      <c r="G71" s="114">
        <f t="shared" si="36"/>
        <v>0</v>
      </c>
      <c r="H71" s="116">
        <f t="shared" si="36"/>
        <v>0</v>
      </c>
      <c r="I71" s="116">
        <f t="shared" si="36"/>
        <v>0</v>
      </c>
      <c r="J71" s="114">
        <f t="shared" si="36"/>
        <v>0</v>
      </c>
      <c r="K71" s="114">
        <f t="shared" si="36"/>
        <v>132</v>
      </c>
      <c r="L71" s="114">
        <f t="shared" si="36"/>
        <v>132</v>
      </c>
      <c r="M71" s="114">
        <f t="shared" si="36"/>
        <v>27</v>
      </c>
      <c r="N71" s="114">
        <f t="shared" si="36"/>
        <v>14</v>
      </c>
      <c r="O71" s="114">
        <f t="shared" si="36"/>
        <v>0</v>
      </c>
      <c r="P71" s="114">
        <f t="shared" si="36"/>
        <v>0</v>
      </c>
      <c r="Q71" s="114">
        <f t="shared" si="36"/>
        <v>4</v>
      </c>
      <c r="R71" s="114">
        <f t="shared" si="36"/>
        <v>45</v>
      </c>
      <c r="S71" s="114">
        <f t="shared" si="36"/>
        <v>34</v>
      </c>
      <c r="T71" s="114">
        <f t="shared" si="36"/>
        <v>22</v>
      </c>
      <c r="U71" s="114">
        <f t="shared" si="36"/>
        <v>0</v>
      </c>
      <c r="V71" s="114">
        <f t="shared" si="36"/>
        <v>0</v>
      </c>
      <c r="W71" s="114">
        <f t="shared" si="36"/>
        <v>2</v>
      </c>
      <c r="X71" s="114">
        <f t="shared" si="36"/>
        <v>0</v>
      </c>
      <c r="Y71" s="114">
        <f t="shared" si="36"/>
        <v>8</v>
      </c>
      <c r="Z71" s="114">
        <f t="shared" si="36"/>
        <v>0</v>
      </c>
      <c r="AA71" s="114">
        <f t="shared" si="36"/>
        <v>0</v>
      </c>
      <c r="AB71" s="114">
        <f t="shared" si="36"/>
        <v>0</v>
      </c>
      <c r="AC71" s="114">
        <f t="shared" si="36"/>
        <v>0</v>
      </c>
      <c r="AD71" s="114">
        <f t="shared" si="36"/>
        <v>66</v>
      </c>
      <c r="AE71" s="114">
        <f t="shared" si="36"/>
        <v>0</v>
      </c>
      <c r="AF71" s="114">
        <f t="shared" si="36"/>
        <v>0</v>
      </c>
      <c r="AG71" s="114">
        <f t="shared" si="36"/>
        <v>111</v>
      </c>
      <c r="AH71" s="114">
        <f t="shared" si="36"/>
        <v>29</v>
      </c>
      <c r="AI71" s="114">
        <f t="shared" si="36"/>
        <v>0</v>
      </c>
      <c r="AJ71" s="114">
        <f t="shared" si="36"/>
        <v>0</v>
      </c>
      <c r="AK71" s="114">
        <f t="shared" si="36"/>
        <v>0</v>
      </c>
      <c r="AL71" s="114">
        <f t="shared" si="36"/>
        <v>0</v>
      </c>
      <c r="AM71" s="114">
        <f t="shared" si="36"/>
        <v>0</v>
      </c>
      <c r="AN71" s="114">
        <f t="shared" si="36"/>
        <v>0</v>
      </c>
      <c r="AO71" s="114">
        <f t="shared" si="36"/>
        <v>29</v>
      </c>
      <c r="AP71" s="114">
        <f t="shared" si="36"/>
        <v>132</v>
      </c>
      <c r="AQ71" s="114">
        <f t="shared" si="36"/>
        <v>8</v>
      </c>
      <c r="AR71" s="117">
        <f t="shared" si="36"/>
        <v>140</v>
      </c>
    </row>
    <row r="72" spans="1:44" ht="20.100000000000001" customHeight="1" x14ac:dyDescent="0.3">
      <c r="A72" s="104" t="s">
        <v>102</v>
      </c>
      <c r="B72" s="4" t="s">
        <v>103</v>
      </c>
      <c r="C72" s="107">
        <v>244</v>
      </c>
      <c r="D72" s="108">
        <v>242</v>
      </c>
      <c r="E72" s="121">
        <f t="shared" ref="E72:E87" si="37">D72-C72</f>
        <v>-2</v>
      </c>
      <c r="F72" s="109" t="s">
        <v>184</v>
      </c>
      <c r="G72" s="106" t="s">
        <v>204</v>
      </c>
      <c r="H72" s="110" t="s">
        <v>183</v>
      </c>
      <c r="I72" s="97"/>
      <c r="J72" s="8"/>
      <c r="K72" s="111">
        <f t="shared" ref="K72:K87" si="38">D72+J72</f>
        <v>242</v>
      </c>
      <c r="L72" s="111">
        <f>SUM(M72:Q72)+SUM(S72:X72)+SUM(AE72:AF72)+SUM(AH72:AM72)</f>
        <v>242</v>
      </c>
      <c r="M72" s="111">
        <v>52</v>
      </c>
      <c r="N72" s="111">
        <v>25</v>
      </c>
      <c r="O72" s="111"/>
      <c r="P72" s="111"/>
      <c r="Q72" s="111">
        <v>10</v>
      </c>
      <c r="R72" s="112">
        <f t="shared" ref="R72:R87" si="39">SUM(M72:Q72)</f>
        <v>87</v>
      </c>
      <c r="S72" s="111">
        <v>57</v>
      </c>
      <c r="T72" s="111">
        <v>35</v>
      </c>
      <c r="U72" s="111"/>
      <c r="V72" s="111"/>
      <c r="W72" s="111">
        <v>10</v>
      </c>
      <c r="X72" s="111"/>
      <c r="Y72" s="8">
        <v>12</v>
      </c>
      <c r="Z72" s="111"/>
      <c r="AA72" s="111"/>
      <c r="AB72" s="111" t="s">
        <v>39</v>
      </c>
      <c r="AC72" s="111"/>
      <c r="AD72" s="112">
        <f>SUM(S72:AC72)</f>
        <v>114</v>
      </c>
      <c r="AE72" s="111"/>
      <c r="AF72" s="111"/>
      <c r="AG72" s="112">
        <f>SUM(M72:Q72)+SUM(S72:AC72)+SUM(AE72:AF72)</f>
        <v>201</v>
      </c>
      <c r="AH72" s="111"/>
      <c r="AI72" s="111"/>
      <c r="AJ72" s="111"/>
      <c r="AK72" s="8">
        <v>53</v>
      </c>
      <c r="AL72" s="8"/>
      <c r="AM72" s="8"/>
      <c r="AN72" s="111"/>
      <c r="AO72" s="112">
        <f t="shared" ref="AO72:AO87" si="40">SUM(AH72:AN72)</f>
        <v>53</v>
      </c>
      <c r="AP72" s="111">
        <f>SUM(M72:Q72)+SUM(S72:X72)+SUM(AE72:AF72)+SUM(AH72:AM72)</f>
        <v>242</v>
      </c>
      <c r="AQ72" s="111">
        <f>SUM(Y72:AC72)+AN72</f>
        <v>12</v>
      </c>
      <c r="AR72" s="113">
        <f t="shared" ref="AR72:AR87" si="41">AP72+AQ72</f>
        <v>254</v>
      </c>
    </row>
    <row r="73" spans="1:44" ht="20.100000000000001" customHeight="1" x14ac:dyDescent="0.3">
      <c r="A73" s="105" t="s">
        <v>36</v>
      </c>
      <c r="B73" s="7" t="s">
        <v>136</v>
      </c>
      <c r="C73" s="114">
        <f>SUM(C72)</f>
        <v>244</v>
      </c>
      <c r="D73" s="115">
        <f t="shared" ref="D73:AR73" si="42">SUM(D72)</f>
        <v>242</v>
      </c>
      <c r="E73" s="114">
        <f t="shared" si="42"/>
        <v>-2</v>
      </c>
      <c r="F73" s="114">
        <f t="shared" si="42"/>
        <v>0</v>
      </c>
      <c r="G73" s="114">
        <f t="shared" si="42"/>
        <v>0</v>
      </c>
      <c r="H73" s="116">
        <f t="shared" si="42"/>
        <v>0</v>
      </c>
      <c r="I73" s="116">
        <f t="shared" si="42"/>
        <v>0</v>
      </c>
      <c r="J73" s="114">
        <f t="shared" si="42"/>
        <v>0</v>
      </c>
      <c r="K73" s="114">
        <f t="shared" si="42"/>
        <v>242</v>
      </c>
      <c r="L73" s="114">
        <f t="shared" si="42"/>
        <v>242</v>
      </c>
      <c r="M73" s="114">
        <f t="shared" si="42"/>
        <v>52</v>
      </c>
      <c r="N73" s="114">
        <f t="shared" si="42"/>
        <v>25</v>
      </c>
      <c r="O73" s="114">
        <f t="shared" si="42"/>
        <v>0</v>
      </c>
      <c r="P73" s="114">
        <f t="shared" si="42"/>
        <v>0</v>
      </c>
      <c r="Q73" s="114">
        <f t="shared" si="42"/>
        <v>10</v>
      </c>
      <c r="R73" s="114">
        <f t="shared" si="42"/>
        <v>87</v>
      </c>
      <c r="S73" s="114">
        <f t="shared" si="42"/>
        <v>57</v>
      </c>
      <c r="T73" s="114">
        <f t="shared" si="42"/>
        <v>35</v>
      </c>
      <c r="U73" s="114">
        <f t="shared" si="42"/>
        <v>0</v>
      </c>
      <c r="V73" s="114">
        <f t="shared" si="42"/>
        <v>0</v>
      </c>
      <c r="W73" s="114">
        <f t="shared" si="42"/>
        <v>10</v>
      </c>
      <c r="X73" s="114">
        <f t="shared" si="42"/>
        <v>0</v>
      </c>
      <c r="Y73" s="114">
        <f t="shared" si="42"/>
        <v>12</v>
      </c>
      <c r="Z73" s="114">
        <f t="shared" si="42"/>
        <v>0</v>
      </c>
      <c r="AA73" s="114">
        <f t="shared" si="42"/>
        <v>0</v>
      </c>
      <c r="AB73" s="114">
        <f t="shared" si="42"/>
        <v>0</v>
      </c>
      <c r="AC73" s="114">
        <f t="shared" si="42"/>
        <v>0</v>
      </c>
      <c r="AD73" s="114">
        <f t="shared" si="42"/>
        <v>114</v>
      </c>
      <c r="AE73" s="114">
        <f t="shared" si="42"/>
        <v>0</v>
      </c>
      <c r="AF73" s="114">
        <f t="shared" si="42"/>
        <v>0</v>
      </c>
      <c r="AG73" s="114">
        <f t="shared" si="42"/>
        <v>201</v>
      </c>
      <c r="AH73" s="114">
        <f t="shared" si="42"/>
        <v>0</v>
      </c>
      <c r="AI73" s="114">
        <f t="shared" si="42"/>
        <v>0</v>
      </c>
      <c r="AJ73" s="114">
        <f t="shared" si="42"/>
        <v>0</v>
      </c>
      <c r="AK73" s="114">
        <f t="shared" si="42"/>
        <v>53</v>
      </c>
      <c r="AL73" s="114">
        <f t="shared" si="42"/>
        <v>0</v>
      </c>
      <c r="AM73" s="114">
        <f t="shared" si="42"/>
        <v>0</v>
      </c>
      <c r="AN73" s="114">
        <f t="shared" si="42"/>
        <v>0</v>
      </c>
      <c r="AO73" s="114">
        <f t="shared" si="42"/>
        <v>53</v>
      </c>
      <c r="AP73" s="114">
        <f t="shared" si="42"/>
        <v>242</v>
      </c>
      <c r="AQ73" s="114">
        <f t="shared" si="42"/>
        <v>12</v>
      </c>
      <c r="AR73" s="117">
        <f t="shared" si="42"/>
        <v>254</v>
      </c>
    </row>
    <row r="74" spans="1:44" ht="20.100000000000001" customHeight="1" x14ac:dyDescent="0.3">
      <c r="A74" s="104" t="s">
        <v>104</v>
      </c>
      <c r="B74" s="6" t="s">
        <v>142</v>
      </c>
      <c r="C74" s="122">
        <v>15</v>
      </c>
      <c r="D74" s="108">
        <v>15</v>
      </c>
      <c r="E74" s="107">
        <f t="shared" si="37"/>
        <v>0</v>
      </c>
      <c r="F74" s="109"/>
      <c r="G74" s="84"/>
      <c r="H74" s="85"/>
      <c r="I74" s="85"/>
      <c r="J74" s="8"/>
      <c r="K74" s="111">
        <f t="shared" si="38"/>
        <v>15</v>
      </c>
      <c r="L74" s="111">
        <f>SUM(M74:Q74)+SUM(S74:X74)+SUM(AE74:AF74)+SUM(AH74:AM74)</f>
        <v>15</v>
      </c>
      <c r="M74" s="111">
        <v>4</v>
      </c>
      <c r="N74" s="111">
        <v>2</v>
      </c>
      <c r="O74" s="111"/>
      <c r="P74" s="111"/>
      <c r="Q74" s="111">
        <v>1</v>
      </c>
      <c r="R74" s="112">
        <f t="shared" si="39"/>
        <v>7</v>
      </c>
      <c r="S74" s="111">
        <v>4</v>
      </c>
      <c r="T74" s="111">
        <v>2</v>
      </c>
      <c r="U74" s="111"/>
      <c r="V74" s="111"/>
      <c r="W74" s="111"/>
      <c r="X74" s="111"/>
      <c r="Y74" s="111">
        <v>2</v>
      </c>
      <c r="Z74" s="111"/>
      <c r="AA74" s="111"/>
      <c r="AB74" s="111" t="s">
        <v>39</v>
      </c>
      <c r="AC74" s="111"/>
      <c r="AD74" s="112">
        <f>SUM(S74:AC74)</f>
        <v>8</v>
      </c>
      <c r="AE74" s="111"/>
      <c r="AF74" s="111"/>
      <c r="AG74" s="112">
        <f>SUM(M74:Q74)+SUM(S74:AC74)+SUM(AE74:AF74)</f>
        <v>15</v>
      </c>
      <c r="AH74" s="111"/>
      <c r="AI74" s="111"/>
      <c r="AJ74" s="111"/>
      <c r="AK74" s="111">
        <v>2</v>
      </c>
      <c r="AL74" s="111"/>
      <c r="AM74" s="111"/>
      <c r="AN74" s="111"/>
      <c r="AO74" s="112">
        <f t="shared" si="40"/>
        <v>2</v>
      </c>
      <c r="AP74" s="111">
        <f>SUM(M74:Q74)+SUM(S74:X74)+SUM(AE74:AF74)+SUM(AH74:AM74)</f>
        <v>15</v>
      </c>
      <c r="AQ74" s="111">
        <f>SUM(Y74:AC74)+AN74</f>
        <v>2</v>
      </c>
      <c r="AR74" s="113">
        <f t="shared" si="41"/>
        <v>17</v>
      </c>
    </row>
    <row r="75" spans="1:44" ht="20.100000000000001" customHeight="1" x14ac:dyDescent="0.3">
      <c r="A75" s="104" t="s">
        <v>104</v>
      </c>
      <c r="B75" s="4" t="s">
        <v>105</v>
      </c>
      <c r="C75" s="107">
        <v>24</v>
      </c>
      <c r="D75" s="108">
        <v>24</v>
      </c>
      <c r="E75" s="107">
        <f t="shared" si="37"/>
        <v>0</v>
      </c>
      <c r="F75" s="109"/>
      <c r="G75" s="84"/>
      <c r="H75" s="85"/>
      <c r="I75" s="97"/>
      <c r="J75" s="8"/>
      <c r="K75" s="111">
        <f t="shared" si="38"/>
        <v>24</v>
      </c>
      <c r="L75" s="111">
        <f>SUM(M75:Q75)+SUM(S75:X75)+SUM(AE75:AF75)+SUM(AH75:AM75)</f>
        <v>24</v>
      </c>
      <c r="M75" s="111">
        <v>4</v>
      </c>
      <c r="N75" s="111">
        <v>3</v>
      </c>
      <c r="O75" s="111"/>
      <c r="P75" s="111"/>
      <c r="Q75" s="111">
        <v>1</v>
      </c>
      <c r="R75" s="112">
        <f t="shared" si="39"/>
        <v>8</v>
      </c>
      <c r="S75" s="111">
        <v>6</v>
      </c>
      <c r="T75" s="111">
        <v>5</v>
      </c>
      <c r="U75" s="111"/>
      <c r="V75" s="111"/>
      <c r="W75" s="111"/>
      <c r="X75" s="111"/>
      <c r="Y75" s="111">
        <v>1</v>
      </c>
      <c r="Z75" s="111"/>
      <c r="AA75" s="111"/>
      <c r="AB75" s="111" t="s">
        <v>39</v>
      </c>
      <c r="AC75" s="111"/>
      <c r="AD75" s="112">
        <f>SUM(S75:AC75)</f>
        <v>12</v>
      </c>
      <c r="AE75" s="111"/>
      <c r="AF75" s="111"/>
      <c r="AG75" s="112">
        <f>SUM(M75:Q75)+SUM(S75:AC75)+SUM(AE75:AF75)</f>
        <v>20</v>
      </c>
      <c r="AH75" s="111"/>
      <c r="AI75" s="111"/>
      <c r="AJ75" s="111"/>
      <c r="AK75" s="111">
        <v>5</v>
      </c>
      <c r="AL75" s="111"/>
      <c r="AM75" s="111"/>
      <c r="AN75" s="111"/>
      <c r="AO75" s="112">
        <f t="shared" si="40"/>
        <v>5</v>
      </c>
      <c r="AP75" s="111">
        <f>SUM(M75:Q75)+SUM(S75:X75)+SUM(AE75:AF75)+SUM(AH75:AM75)</f>
        <v>24</v>
      </c>
      <c r="AQ75" s="111">
        <f>SUM(Y75:AC75)+AN75</f>
        <v>1</v>
      </c>
      <c r="AR75" s="113">
        <f t="shared" si="41"/>
        <v>25</v>
      </c>
    </row>
    <row r="76" spans="1:44" ht="20.100000000000001" customHeight="1" x14ac:dyDescent="0.3">
      <c r="A76" s="104" t="s">
        <v>104</v>
      </c>
      <c r="B76" s="4" t="s">
        <v>106</v>
      </c>
      <c r="C76" s="107">
        <v>26</v>
      </c>
      <c r="D76" s="108">
        <v>26</v>
      </c>
      <c r="E76" s="107">
        <f t="shared" si="37"/>
        <v>0</v>
      </c>
      <c r="F76" s="109"/>
      <c r="G76" s="84"/>
      <c r="H76" s="85"/>
      <c r="I76" s="97"/>
      <c r="J76" s="8"/>
      <c r="K76" s="111">
        <f t="shared" si="38"/>
        <v>26</v>
      </c>
      <c r="L76" s="111">
        <f>SUM(M76:Q76)+SUM(S76:X76)+SUM(AE76:AF76)+SUM(AH76:AM76)</f>
        <v>26</v>
      </c>
      <c r="M76" s="111">
        <v>4</v>
      </c>
      <c r="N76" s="111">
        <v>3</v>
      </c>
      <c r="O76" s="111"/>
      <c r="P76" s="111"/>
      <c r="Q76" s="111">
        <v>1</v>
      </c>
      <c r="R76" s="112">
        <f t="shared" si="39"/>
        <v>8</v>
      </c>
      <c r="S76" s="111">
        <v>7</v>
      </c>
      <c r="T76" s="111">
        <v>4</v>
      </c>
      <c r="U76" s="111"/>
      <c r="V76" s="111"/>
      <c r="W76" s="111"/>
      <c r="X76" s="111"/>
      <c r="Y76" s="111">
        <v>2</v>
      </c>
      <c r="Z76" s="111"/>
      <c r="AA76" s="111"/>
      <c r="AB76" s="111" t="s">
        <v>39</v>
      </c>
      <c r="AC76" s="111"/>
      <c r="AD76" s="112">
        <f>SUM(S76:AC76)</f>
        <v>13</v>
      </c>
      <c r="AE76" s="111"/>
      <c r="AF76" s="111"/>
      <c r="AG76" s="112">
        <f>SUM(M76:Q76)+SUM(S76:AC76)+SUM(AE76:AF76)</f>
        <v>21</v>
      </c>
      <c r="AH76" s="111"/>
      <c r="AI76" s="111"/>
      <c r="AJ76" s="111"/>
      <c r="AK76" s="111">
        <v>7</v>
      </c>
      <c r="AL76" s="111"/>
      <c r="AM76" s="111"/>
      <c r="AN76" s="111"/>
      <c r="AO76" s="112">
        <f t="shared" si="40"/>
        <v>7</v>
      </c>
      <c r="AP76" s="111">
        <f>SUM(M76:Q76)+SUM(S76:X76)+SUM(AE76:AF76)+SUM(AH76:AM76)</f>
        <v>26</v>
      </c>
      <c r="AQ76" s="111">
        <f>SUM(Y76:AC76)+AN76</f>
        <v>2</v>
      </c>
      <c r="AR76" s="113">
        <f t="shared" si="41"/>
        <v>28</v>
      </c>
    </row>
    <row r="77" spans="1:44" ht="20.100000000000001" customHeight="1" x14ac:dyDescent="0.3">
      <c r="A77" s="104" t="s">
        <v>104</v>
      </c>
      <c r="B77" s="4" t="s">
        <v>107</v>
      </c>
      <c r="C77" s="107">
        <v>42</v>
      </c>
      <c r="D77" s="108">
        <v>42</v>
      </c>
      <c r="E77" s="107">
        <f t="shared" si="37"/>
        <v>0</v>
      </c>
      <c r="F77" s="109"/>
      <c r="G77" s="84"/>
      <c r="H77" s="123" t="s">
        <v>205</v>
      </c>
      <c r="I77" s="97"/>
      <c r="J77" s="8"/>
      <c r="K77" s="111">
        <f t="shared" si="38"/>
        <v>42</v>
      </c>
      <c r="L77" s="111">
        <f>SUM(M77:Q77)+SUM(S77:X77)+SUM(AE77:AF77)+SUM(AH77:AM77)</f>
        <v>42</v>
      </c>
      <c r="M77" s="8">
        <v>9</v>
      </c>
      <c r="N77" s="8">
        <v>5</v>
      </c>
      <c r="O77" s="8"/>
      <c r="P77" s="8"/>
      <c r="Q77" s="111">
        <v>2</v>
      </c>
      <c r="R77" s="112">
        <f t="shared" si="39"/>
        <v>16</v>
      </c>
      <c r="S77" s="111">
        <v>12</v>
      </c>
      <c r="T77" s="111">
        <v>7</v>
      </c>
      <c r="U77" s="111"/>
      <c r="V77" s="111"/>
      <c r="W77" s="111"/>
      <c r="X77" s="111"/>
      <c r="Y77" s="111">
        <v>2</v>
      </c>
      <c r="Z77" s="111"/>
      <c r="AA77" s="111"/>
      <c r="AB77" s="111" t="s">
        <v>39</v>
      </c>
      <c r="AC77" s="111"/>
      <c r="AD77" s="112">
        <f>SUM(S77:AC77)</f>
        <v>21</v>
      </c>
      <c r="AE77" s="111"/>
      <c r="AF77" s="111"/>
      <c r="AG77" s="112">
        <f>SUM(M77:Q77)+SUM(S77:AC77)+SUM(AE77:AF77)</f>
        <v>37</v>
      </c>
      <c r="AH77" s="111"/>
      <c r="AI77" s="111"/>
      <c r="AJ77" s="111"/>
      <c r="AK77" s="8">
        <v>7</v>
      </c>
      <c r="AL77" s="111"/>
      <c r="AM77" s="111"/>
      <c r="AN77" s="111"/>
      <c r="AO77" s="112">
        <f t="shared" si="40"/>
        <v>7</v>
      </c>
      <c r="AP77" s="111">
        <f>SUM(M77:Q77)+SUM(S77:X77)+SUM(AE77:AF77)+SUM(AH77:AM77)</f>
        <v>42</v>
      </c>
      <c r="AQ77" s="111">
        <f>SUM(Y77:AC77)+AN77</f>
        <v>2</v>
      </c>
      <c r="AR77" s="113">
        <f t="shared" si="41"/>
        <v>44</v>
      </c>
    </row>
    <row r="78" spans="1:44" ht="20.100000000000001" customHeight="1" x14ac:dyDescent="0.3">
      <c r="A78" s="104" t="s">
        <v>104</v>
      </c>
      <c r="B78" s="4" t="s">
        <v>108</v>
      </c>
      <c r="C78" s="107">
        <v>66</v>
      </c>
      <c r="D78" s="108">
        <v>66</v>
      </c>
      <c r="E78" s="107">
        <f t="shared" si="37"/>
        <v>0</v>
      </c>
      <c r="F78" s="109"/>
      <c r="G78" s="84"/>
      <c r="H78" s="85"/>
      <c r="I78" s="97"/>
      <c r="J78" s="8"/>
      <c r="K78" s="111">
        <f t="shared" si="38"/>
        <v>66</v>
      </c>
      <c r="L78" s="111">
        <f>SUM(M78:Q78)+SUM(S78:X78)+SUM(AE78:AF78)+SUM(AH78:AM78)</f>
        <v>66</v>
      </c>
      <c r="M78" s="111">
        <v>16</v>
      </c>
      <c r="N78" s="111">
        <v>7</v>
      </c>
      <c r="O78" s="111"/>
      <c r="P78" s="111"/>
      <c r="Q78" s="111">
        <v>1</v>
      </c>
      <c r="R78" s="112">
        <f t="shared" si="39"/>
        <v>24</v>
      </c>
      <c r="S78" s="111">
        <v>16</v>
      </c>
      <c r="T78" s="111">
        <v>12</v>
      </c>
      <c r="U78" s="111"/>
      <c r="V78" s="111"/>
      <c r="W78" s="111"/>
      <c r="X78" s="111"/>
      <c r="Y78" s="111">
        <v>3</v>
      </c>
      <c r="Z78" s="111"/>
      <c r="AA78" s="111"/>
      <c r="AB78" s="111" t="s">
        <v>39</v>
      </c>
      <c r="AC78" s="111"/>
      <c r="AD78" s="112">
        <f>SUM(S78:AC78)</f>
        <v>31</v>
      </c>
      <c r="AE78" s="111"/>
      <c r="AF78" s="111"/>
      <c r="AG78" s="112">
        <f>SUM(M78:Q78)+SUM(S78:AC78)+SUM(AE78:AF78)</f>
        <v>55</v>
      </c>
      <c r="AH78" s="111"/>
      <c r="AI78" s="111"/>
      <c r="AJ78" s="111"/>
      <c r="AK78" s="111">
        <v>14</v>
      </c>
      <c r="AL78" s="111"/>
      <c r="AM78" s="111"/>
      <c r="AN78" s="111"/>
      <c r="AO78" s="112">
        <f t="shared" si="40"/>
        <v>14</v>
      </c>
      <c r="AP78" s="111">
        <f>SUM(M78:Q78)+SUM(S78:X78)+SUM(AE78:AF78)+SUM(AH78:AM78)</f>
        <v>66</v>
      </c>
      <c r="AQ78" s="111">
        <f>SUM(Y78:AC78)+AN78</f>
        <v>3</v>
      </c>
      <c r="AR78" s="113">
        <f t="shared" si="41"/>
        <v>69</v>
      </c>
    </row>
    <row r="79" spans="1:44" ht="20.100000000000001" customHeight="1" x14ac:dyDescent="0.3">
      <c r="A79" s="105" t="s">
        <v>36</v>
      </c>
      <c r="B79" s="7" t="s">
        <v>137</v>
      </c>
      <c r="C79" s="114">
        <f>SUM(C74:C78)</f>
        <v>173</v>
      </c>
      <c r="D79" s="115">
        <f t="shared" ref="D79:AR79" si="43">SUM(D74:D78)</f>
        <v>173</v>
      </c>
      <c r="E79" s="114">
        <f t="shared" si="43"/>
        <v>0</v>
      </c>
      <c r="F79" s="114">
        <f t="shared" si="43"/>
        <v>0</v>
      </c>
      <c r="G79" s="114">
        <f t="shared" si="43"/>
        <v>0</v>
      </c>
      <c r="H79" s="116">
        <f t="shared" si="43"/>
        <v>0</v>
      </c>
      <c r="I79" s="116">
        <f t="shared" si="43"/>
        <v>0</v>
      </c>
      <c r="J79" s="114">
        <f t="shared" si="43"/>
        <v>0</v>
      </c>
      <c r="K79" s="114">
        <f t="shared" si="43"/>
        <v>173</v>
      </c>
      <c r="L79" s="114">
        <f t="shared" si="43"/>
        <v>173</v>
      </c>
      <c r="M79" s="114">
        <f t="shared" si="43"/>
        <v>37</v>
      </c>
      <c r="N79" s="114">
        <f t="shared" si="43"/>
        <v>20</v>
      </c>
      <c r="O79" s="114">
        <f t="shared" si="43"/>
        <v>0</v>
      </c>
      <c r="P79" s="114">
        <f t="shared" si="43"/>
        <v>0</v>
      </c>
      <c r="Q79" s="114">
        <f t="shared" si="43"/>
        <v>6</v>
      </c>
      <c r="R79" s="114">
        <f t="shared" si="43"/>
        <v>63</v>
      </c>
      <c r="S79" s="114">
        <f t="shared" si="43"/>
        <v>45</v>
      </c>
      <c r="T79" s="114">
        <f t="shared" si="43"/>
        <v>30</v>
      </c>
      <c r="U79" s="114">
        <f t="shared" si="43"/>
        <v>0</v>
      </c>
      <c r="V79" s="114">
        <f t="shared" si="43"/>
        <v>0</v>
      </c>
      <c r="W79" s="114">
        <f t="shared" si="43"/>
        <v>0</v>
      </c>
      <c r="X79" s="114">
        <f t="shared" si="43"/>
        <v>0</v>
      </c>
      <c r="Y79" s="114">
        <f t="shared" si="43"/>
        <v>10</v>
      </c>
      <c r="Z79" s="114">
        <f t="shared" si="43"/>
        <v>0</v>
      </c>
      <c r="AA79" s="114">
        <f t="shared" si="43"/>
        <v>0</v>
      </c>
      <c r="AB79" s="114">
        <f t="shared" si="43"/>
        <v>0</v>
      </c>
      <c r="AC79" s="114">
        <f t="shared" si="43"/>
        <v>0</v>
      </c>
      <c r="AD79" s="114">
        <f t="shared" si="43"/>
        <v>85</v>
      </c>
      <c r="AE79" s="114">
        <f t="shared" si="43"/>
        <v>0</v>
      </c>
      <c r="AF79" s="114">
        <f t="shared" si="43"/>
        <v>0</v>
      </c>
      <c r="AG79" s="114">
        <f t="shared" si="43"/>
        <v>148</v>
      </c>
      <c r="AH79" s="114">
        <f t="shared" si="43"/>
        <v>0</v>
      </c>
      <c r="AI79" s="114">
        <f t="shared" si="43"/>
        <v>0</v>
      </c>
      <c r="AJ79" s="114">
        <f t="shared" si="43"/>
        <v>0</v>
      </c>
      <c r="AK79" s="114">
        <f t="shared" si="43"/>
        <v>35</v>
      </c>
      <c r="AL79" s="114">
        <f t="shared" si="43"/>
        <v>0</v>
      </c>
      <c r="AM79" s="114">
        <f t="shared" si="43"/>
        <v>0</v>
      </c>
      <c r="AN79" s="114">
        <f t="shared" si="43"/>
        <v>0</v>
      </c>
      <c r="AO79" s="114">
        <f t="shared" si="43"/>
        <v>35</v>
      </c>
      <c r="AP79" s="114">
        <f t="shared" si="43"/>
        <v>173</v>
      </c>
      <c r="AQ79" s="114">
        <f t="shared" si="43"/>
        <v>10</v>
      </c>
      <c r="AR79" s="117">
        <f t="shared" si="43"/>
        <v>183</v>
      </c>
    </row>
    <row r="80" spans="1:44" ht="20.100000000000001" customHeight="1" x14ac:dyDescent="0.3">
      <c r="A80" s="104" t="s">
        <v>109</v>
      </c>
      <c r="B80" s="4" t="s">
        <v>114</v>
      </c>
      <c r="C80" s="107">
        <v>20</v>
      </c>
      <c r="D80" s="108">
        <v>20</v>
      </c>
      <c r="E80" s="107">
        <f>D80-C80</f>
        <v>0</v>
      </c>
      <c r="F80" s="109"/>
      <c r="G80" s="84"/>
      <c r="H80" s="85"/>
      <c r="I80" s="97"/>
      <c r="J80" s="8"/>
      <c r="K80" s="8">
        <f>D80+J80</f>
        <v>20</v>
      </c>
      <c r="L80" s="8">
        <f>SUM(M80:Q80)+SUM(S80:X80)+SUM(AE80:AF80)+SUM(AH80:AM80)</f>
        <v>20</v>
      </c>
      <c r="M80" s="8">
        <v>4</v>
      </c>
      <c r="N80" s="8">
        <v>2</v>
      </c>
      <c r="O80" s="8"/>
      <c r="P80" s="8"/>
      <c r="Q80" s="8"/>
      <c r="R80" s="112">
        <f>SUM(M80:Q80)</f>
        <v>6</v>
      </c>
      <c r="S80" s="8">
        <v>6</v>
      </c>
      <c r="T80" s="8">
        <v>4</v>
      </c>
      <c r="U80" s="8"/>
      <c r="V80" s="8"/>
      <c r="W80" s="8">
        <v>1</v>
      </c>
      <c r="X80" s="8"/>
      <c r="Y80" s="8">
        <v>1</v>
      </c>
      <c r="Z80" s="8"/>
      <c r="AA80" s="8"/>
      <c r="AB80" s="8"/>
      <c r="AC80" s="8"/>
      <c r="AD80" s="112">
        <f>SUM(S80:AC80)</f>
        <v>12</v>
      </c>
      <c r="AE80" s="8"/>
      <c r="AF80" s="8"/>
      <c r="AG80" s="112">
        <f>SUM(M80:Q80)+SUM(S80:AC80)+SUM(AE80:AF80)</f>
        <v>18</v>
      </c>
      <c r="AH80" s="8"/>
      <c r="AI80" s="8"/>
      <c r="AJ80" s="8"/>
      <c r="AK80" s="8">
        <v>3</v>
      </c>
      <c r="AL80" s="8"/>
      <c r="AM80" s="8"/>
      <c r="AN80" s="8"/>
      <c r="AO80" s="112">
        <f>SUM(AH80:AN80)</f>
        <v>3</v>
      </c>
      <c r="AP80" s="8">
        <f>SUM(M80:Q80)+SUM(S80:X80)+SUM(AE80:AF80)+SUM(AH80:AM80)</f>
        <v>20</v>
      </c>
      <c r="AQ80" s="111">
        <f>SUM(Y80:AC80)+AN80</f>
        <v>1</v>
      </c>
      <c r="AR80" s="113">
        <f>AP80+AQ80</f>
        <v>21</v>
      </c>
    </row>
    <row r="81" spans="1:44" ht="20.100000000000001" customHeight="1" x14ac:dyDescent="0.3">
      <c r="A81" s="104" t="s">
        <v>109</v>
      </c>
      <c r="B81" s="4" t="s">
        <v>110</v>
      </c>
      <c r="C81" s="107">
        <v>93</v>
      </c>
      <c r="D81" s="108">
        <v>93</v>
      </c>
      <c r="E81" s="107">
        <f t="shared" si="37"/>
        <v>0</v>
      </c>
      <c r="F81" s="109"/>
      <c r="G81" s="84"/>
      <c r="H81" s="85"/>
      <c r="I81" s="97"/>
      <c r="J81" s="8"/>
      <c r="K81" s="8">
        <f t="shared" si="38"/>
        <v>93</v>
      </c>
      <c r="L81" s="8">
        <f>SUM(M81:Q81)+SUM(S81:X81)+SUM(AE81:AF81)+SUM(AH81:AM81)</f>
        <v>93</v>
      </c>
      <c r="M81" s="8">
        <v>18</v>
      </c>
      <c r="N81" s="8">
        <v>11</v>
      </c>
      <c r="O81" s="8"/>
      <c r="P81" s="8"/>
      <c r="Q81" s="8">
        <v>2</v>
      </c>
      <c r="R81" s="112">
        <f t="shared" si="39"/>
        <v>31</v>
      </c>
      <c r="S81" s="8">
        <v>22</v>
      </c>
      <c r="T81" s="8">
        <v>13</v>
      </c>
      <c r="U81" s="8"/>
      <c r="V81" s="8"/>
      <c r="W81" s="8">
        <v>4</v>
      </c>
      <c r="X81" s="8"/>
      <c r="Y81" s="8">
        <v>4</v>
      </c>
      <c r="Z81" s="8"/>
      <c r="AA81" s="8"/>
      <c r="AB81" s="8" t="s">
        <v>39</v>
      </c>
      <c r="AC81" s="8"/>
      <c r="AD81" s="112">
        <f>SUM(S81:AC81)</f>
        <v>43</v>
      </c>
      <c r="AE81" s="8"/>
      <c r="AF81" s="8"/>
      <c r="AG81" s="112">
        <f>SUM(M81:Q81)+SUM(S81:AC81)+SUM(AE81:AF81)</f>
        <v>74</v>
      </c>
      <c r="AH81" s="8"/>
      <c r="AI81" s="8"/>
      <c r="AJ81" s="8"/>
      <c r="AK81" s="8">
        <v>23</v>
      </c>
      <c r="AL81" s="8"/>
      <c r="AM81" s="8"/>
      <c r="AN81" s="8"/>
      <c r="AO81" s="112">
        <f t="shared" si="40"/>
        <v>23</v>
      </c>
      <c r="AP81" s="8">
        <f>SUM(M81:Q81)+SUM(S81:X81)+SUM(AE81:AF81)+SUM(AH81:AM81)</f>
        <v>93</v>
      </c>
      <c r="AQ81" s="111">
        <f>SUM(Y81:AC81)+AN81</f>
        <v>4</v>
      </c>
      <c r="AR81" s="113">
        <f t="shared" si="41"/>
        <v>97</v>
      </c>
    </row>
    <row r="82" spans="1:44" ht="20.100000000000001" customHeight="1" x14ac:dyDescent="0.3">
      <c r="A82" s="104" t="s">
        <v>109</v>
      </c>
      <c r="B82" s="4" t="s">
        <v>111</v>
      </c>
      <c r="C82" s="107">
        <v>40</v>
      </c>
      <c r="D82" s="108">
        <v>40</v>
      </c>
      <c r="E82" s="107">
        <f t="shared" si="37"/>
        <v>0</v>
      </c>
      <c r="F82" s="109"/>
      <c r="G82" s="84"/>
      <c r="H82" s="85"/>
      <c r="I82" s="97"/>
      <c r="J82" s="8"/>
      <c r="K82" s="8">
        <f t="shared" si="38"/>
        <v>40</v>
      </c>
      <c r="L82" s="8">
        <f>SUM(M82:Q82)+SUM(S82:X82)+SUM(AE82:AF82)+SUM(AH82:AM82)</f>
        <v>40</v>
      </c>
      <c r="M82" s="8">
        <v>8</v>
      </c>
      <c r="N82" s="8">
        <v>4</v>
      </c>
      <c r="O82" s="8"/>
      <c r="P82" s="8"/>
      <c r="Q82" s="8">
        <v>1</v>
      </c>
      <c r="R82" s="112">
        <f t="shared" si="39"/>
        <v>13</v>
      </c>
      <c r="S82" s="8">
        <v>12</v>
      </c>
      <c r="T82" s="8">
        <v>6</v>
      </c>
      <c r="U82" s="8"/>
      <c r="V82" s="8"/>
      <c r="W82" s="8"/>
      <c r="X82" s="8"/>
      <c r="Y82" s="8">
        <v>2</v>
      </c>
      <c r="Z82" s="8"/>
      <c r="AA82" s="8"/>
      <c r="AB82" s="8" t="s">
        <v>39</v>
      </c>
      <c r="AC82" s="8"/>
      <c r="AD82" s="112">
        <f>SUM(S82:AC82)</f>
        <v>20</v>
      </c>
      <c r="AE82" s="8"/>
      <c r="AF82" s="8"/>
      <c r="AG82" s="112">
        <f>SUM(M82:Q82)+SUM(S82:AC82)+SUM(AE82:AF82)</f>
        <v>33</v>
      </c>
      <c r="AH82" s="8"/>
      <c r="AI82" s="8"/>
      <c r="AJ82" s="8"/>
      <c r="AK82" s="8">
        <v>9</v>
      </c>
      <c r="AL82" s="8"/>
      <c r="AM82" s="8"/>
      <c r="AN82" s="8"/>
      <c r="AO82" s="112">
        <f t="shared" si="40"/>
        <v>9</v>
      </c>
      <c r="AP82" s="8">
        <f>SUM(M82:Q82)+SUM(S82:X82)+SUM(AE82:AF82)+SUM(AH82:AM82)</f>
        <v>40</v>
      </c>
      <c r="AQ82" s="111">
        <f>SUM(Y82:AC82)+AN82</f>
        <v>2</v>
      </c>
      <c r="AR82" s="113">
        <f t="shared" si="41"/>
        <v>42</v>
      </c>
    </row>
    <row r="83" spans="1:44" ht="20.100000000000001" customHeight="1" x14ac:dyDescent="0.3">
      <c r="A83" s="104" t="s">
        <v>109</v>
      </c>
      <c r="B83" s="4" t="s">
        <v>112</v>
      </c>
      <c r="C83" s="107">
        <v>154</v>
      </c>
      <c r="D83" s="108">
        <v>154</v>
      </c>
      <c r="E83" s="107">
        <f t="shared" si="37"/>
        <v>0</v>
      </c>
      <c r="F83" s="109"/>
      <c r="G83" s="84"/>
      <c r="H83" s="85"/>
      <c r="I83" s="97"/>
      <c r="J83" s="8"/>
      <c r="K83" s="8">
        <f t="shared" si="38"/>
        <v>154</v>
      </c>
      <c r="L83" s="8">
        <f>SUM(M83:Q83)+SUM(S83:X83)+SUM(AE83:AF83)+SUM(AH83:AM83)</f>
        <v>154</v>
      </c>
      <c r="M83" s="8">
        <v>20</v>
      </c>
      <c r="N83" s="8">
        <v>19</v>
      </c>
      <c r="O83" s="8"/>
      <c r="P83" s="8"/>
      <c r="Q83" s="8">
        <v>6</v>
      </c>
      <c r="R83" s="112">
        <f t="shared" si="39"/>
        <v>45</v>
      </c>
      <c r="S83" s="8">
        <v>46</v>
      </c>
      <c r="T83" s="8">
        <v>19</v>
      </c>
      <c r="U83" s="8"/>
      <c r="V83" s="8"/>
      <c r="W83" s="8">
        <v>6</v>
      </c>
      <c r="X83" s="8"/>
      <c r="Y83" s="8">
        <v>4</v>
      </c>
      <c r="Z83" s="8"/>
      <c r="AA83" s="8"/>
      <c r="AB83" s="8" t="s">
        <v>39</v>
      </c>
      <c r="AC83" s="8"/>
      <c r="AD83" s="112">
        <f>SUM(S83:AC83)</f>
        <v>75</v>
      </c>
      <c r="AE83" s="8"/>
      <c r="AF83" s="8"/>
      <c r="AG83" s="112">
        <f>SUM(M83:Q83)+SUM(S83:AC83)+SUM(AE83:AF83)</f>
        <v>120</v>
      </c>
      <c r="AH83" s="8"/>
      <c r="AI83" s="8"/>
      <c r="AJ83" s="8"/>
      <c r="AK83" s="8">
        <v>38</v>
      </c>
      <c r="AL83" s="8"/>
      <c r="AM83" s="8"/>
      <c r="AN83" s="8"/>
      <c r="AO83" s="112">
        <f t="shared" si="40"/>
        <v>38</v>
      </c>
      <c r="AP83" s="8">
        <f>SUM(M83:Q83)+SUM(S83:X83)+SUM(AE83:AF83)+SUM(AH83:AM83)</f>
        <v>154</v>
      </c>
      <c r="AQ83" s="111">
        <f>SUM(Y83:AC83)+AN83</f>
        <v>4</v>
      </c>
      <c r="AR83" s="113">
        <f t="shared" si="41"/>
        <v>158</v>
      </c>
    </row>
    <row r="84" spans="1:44" ht="20.100000000000001" customHeight="1" x14ac:dyDescent="0.3">
      <c r="A84" s="104" t="s">
        <v>109</v>
      </c>
      <c r="B84" s="4" t="s">
        <v>113</v>
      </c>
      <c r="C84" s="107">
        <v>40</v>
      </c>
      <c r="D84" s="108">
        <v>40</v>
      </c>
      <c r="E84" s="107">
        <f t="shared" si="37"/>
        <v>0</v>
      </c>
      <c r="F84" s="109"/>
      <c r="G84" s="84"/>
      <c r="H84" s="85"/>
      <c r="I84" s="97"/>
      <c r="J84" s="8"/>
      <c r="K84" s="8">
        <f t="shared" si="38"/>
        <v>40</v>
      </c>
      <c r="L84" s="8">
        <f>SUM(M84:Q84)+SUM(S84:X84)+SUM(AE84:AF84)+SUM(AH84:AM84)</f>
        <v>40</v>
      </c>
      <c r="M84" s="8">
        <v>5</v>
      </c>
      <c r="N84" s="8">
        <v>3</v>
      </c>
      <c r="O84" s="8"/>
      <c r="P84" s="8"/>
      <c r="Q84" s="8">
        <v>2</v>
      </c>
      <c r="R84" s="112">
        <f t="shared" si="39"/>
        <v>10</v>
      </c>
      <c r="S84" s="8">
        <v>11</v>
      </c>
      <c r="T84" s="8">
        <v>8</v>
      </c>
      <c r="U84" s="8"/>
      <c r="V84" s="8"/>
      <c r="W84" s="8"/>
      <c r="X84" s="8"/>
      <c r="Y84" s="8">
        <v>2</v>
      </c>
      <c r="Z84" s="8"/>
      <c r="AA84" s="8"/>
      <c r="AB84" s="8" t="s">
        <v>39</v>
      </c>
      <c r="AC84" s="8"/>
      <c r="AD84" s="112">
        <f>SUM(S84:AC84)</f>
        <v>21</v>
      </c>
      <c r="AE84" s="8"/>
      <c r="AF84" s="8"/>
      <c r="AG84" s="112">
        <f>SUM(M84:Q84)+SUM(S84:AC84)+SUM(AE84:AF84)</f>
        <v>31</v>
      </c>
      <c r="AH84" s="8"/>
      <c r="AI84" s="8"/>
      <c r="AJ84" s="8"/>
      <c r="AK84" s="8">
        <v>11</v>
      </c>
      <c r="AL84" s="8"/>
      <c r="AM84" s="8"/>
      <c r="AN84" s="8"/>
      <c r="AO84" s="112">
        <f t="shared" si="40"/>
        <v>11</v>
      </c>
      <c r="AP84" s="8">
        <f>SUM(M84:Q84)+SUM(S84:X84)+SUM(AE84:AF84)+SUM(AH84:AM84)</f>
        <v>40</v>
      </c>
      <c r="AQ84" s="111">
        <f>SUM(Y84:AC84)+AN84</f>
        <v>2</v>
      </c>
      <c r="AR84" s="113">
        <f t="shared" si="41"/>
        <v>42</v>
      </c>
    </row>
    <row r="85" spans="1:44" ht="20.100000000000001" customHeight="1" x14ac:dyDescent="0.3">
      <c r="A85" s="105" t="s">
        <v>115</v>
      </c>
      <c r="B85" s="7" t="s">
        <v>138</v>
      </c>
      <c r="C85" s="114">
        <f>SUM(C80:C84)</f>
        <v>347</v>
      </c>
      <c r="D85" s="115">
        <f t="shared" ref="D85:AR85" si="44">SUM(D80:D84)</f>
        <v>347</v>
      </c>
      <c r="E85" s="114">
        <f t="shared" si="44"/>
        <v>0</v>
      </c>
      <c r="F85" s="114">
        <f t="shared" si="44"/>
        <v>0</v>
      </c>
      <c r="G85" s="114">
        <f t="shared" si="44"/>
        <v>0</v>
      </c>
      <c r="H85" s="116">
        <f t="shared" si="44"/>
        <v>0</v>
      </c>
      <c r="I85" s="116">
        <f t="shared" si="44"/>
        <v>0</v>
      </c>
      <c r="J85" s="114">
        <f t="shared" si="44"/>
        <v>0</v>
      </c>
      <c r="K85" s="114">
        <f t="shared" si="44"/>
        <v>347</v>
      </c>
      <c r="L85" s="114">
        <f t="shared" si="44"/>
        <v>347</v>
      </c>
      <c r="M85" s="114">
        <f t="shared" si="44"/>
        <v>55</v>
      </c>
      <c r="N85" s="114">
        <f t="shared" si="44"/>
        <v>39</v>
      </c>
      <c r="O85" s="114">
        <f t="shared" si="44"/>
        <v>0</v>
      </c>
      <c r="P85" s="114">
        <f t="shared" si="44"/>
        <v>0</v>
      </c>
      <c r="Q85" s="114">
        <f t="shared" si="44"/>
        <v>11</v>
      </c>
      <c r="R85" s="114">
        <f t="shared" si="44"/>
        <v>105</v>
      </c>
      <c r="S85" s="114">
        <f t="shared" si="44"/>
        <v>97</v>
      </c>
      <c r="T85" s="114">
        <f t="shared" si="44"/>
        <v>50</v>
      </c>
      <c r="U85" s="114">
        <f t="shared" si="44"/>
        <v>0</v>
      </c>
      <c r="V85" s="114">
        <f t="shared" si="44"/>
        <v>0</v>
      </c>
      <c r="W85" s="114">
        <f t="shared" si="44"/>
        <v>11</v>
      </c>
      <c r="X85" s="114">
        <f t="shared" si="44"/>
        <v>0</v>
      </c>
      <c r="Y85" s="114">
        <f t="shared" si="44"/>
        <v>13</v>
      </c>
      <c r="Z85" s="114">
        <f t="shared" si="44"/>
        <v>0</v>
      </c>
      <c r="AA85" s="114">
        <f t="shared" si="44"/>
        <v>0</v>
      </c>
      <c r="AB85" s="114">
        <f t="shared" si="44"/>
        <v>0</v>
      </c>
      <c r="AC85" s="114">
        <f t="shared" si="44"/>
        <v>0</v>
      </c>
      <c r="AD85" s="114">
        <f t="shared" si="44"/>
        <v>171</v>
      </c>
      <c r="AE85" s="114">
        <f t="shared" si="44"/>
        <v>0</v>
      </c>
      <c r="AF85" s="114">
        <f t="shared" si="44"/>
        <v>0</v>
      </c>
      <c r="AG85" s="114">
        <f t="shared" si="44"/>
        <v>276</v>
      </c>
      <c r="AH85" s="114">
        <f t="shared" si="44"/>
        <v>0</v>
      </c>
      <c r="AI85" s="114">
        <f t="shared" si="44"/>
        <v>0</v>
      </c>
      <c r="AJ85" s="114">
        <f t="shared" si="44"/>
        <v>0</v>
      </c>
      <c r="AK85" s="114">
        <f t="shared" si="44"/>
        <v>84</v>
      </c>
      <c r="AL85" s="114">
        <f t="shared" si="44"/>
        <v>0</v>
      </c>
      <c r="AM85" s="114">
        <f t="shared" si="44"/>
        <v>0</v>
      </c>
      <c r="AN85" s="114">
        <f t="shared" si="44"/>
        <v>0</v>
      </c>
      <c r="AO85" s="114">
        <f t="shared" si="44"/>
        <v>84</v>
      </c>
      <c r="AP85" s="114">
        <f t="shared" si="44"/>
        <v>347</v>
      </c>
      <c r="AQ85" s="114">
        <f t="shared" si="44"/>
        <v>13</v>
      </c>
      <c r="AR85" s="117">
        <f t="shared" si="44"/>
        <v>360</v>
      </c>
    </row>
    <row r="86" spans="1:44" ht="20.100000000000001" customHeight="1" x14ac:dyDescent="0.3">
      <c r="A86" s="104" t="s">
        <v>116</v>
      </c>
      <c r="B86" s="4" t="s">
        <v>117</v>
      </c>
      <c r="C86" s="107">
        <v>51</v>
      </c>
      <c r="D86" s="108">
        <v>41</v>
      </c>
      <c r="E86" s="121">
        <f t="shared" si="37"/>
        <v>-10</v>
      </c>
      <c r="F86" s="109" t="s">
        <v>184</v>
      </c>
      <c r="G86" s="106" t="s">
        <v>206</v>
      </c>
      <c r="H86" s="123" t="s">
        <v>207</v>
      </c>
      <c r="I86" s="97"/>
      <c r="J86" s="8"/>
      <c r="K86" s="111">
        <f t="shared" si="38"/>
        <v>41</v>
      </c>
      <c r="L86" s="111">
        <f>SUM(M86:Q86)+SUM(S86:X86)+SUM(AE86:AF86)+SUM(AH86:AM86)</f>
        <v>41</v>
      </c>
      <c r="M86" s="8">
        <v>5</v>
      </c>
      <c r="N86" s="8">
        <v>3</v>
      </c>
      <c r="O86" s="8"/>
      <c r="P86" s="8"/>
      <c r="Q86" s="8">
        <v>3</v>
      </c>
      <c r="R86" s="112">
        <f t="shared" si="39"/>
        <v>11</v>
      </c>
      <c r="S86" s="8">
        <v>11</v>
      </c>
      <c r="T86" s="8">
        <v>11</v>
      </c>
      <c r="U86" s="8"/>
      <c r="V86" s="8"/>
      <c r="W86" s="8">
        <v>2</v>
      </c>
      <c r="X86" s="8"/>
      <c r="Y86" s="8"/>
      <c r="Z86" s="8"/>
      <c r="AA86" s="8"/>
      <c r="AB86" s="8"/>
      <c r="AC86" s="8"/>
      <c r="AD86" s="112">
        <f>SUM(S86:AC86)</f>
        <v>24</v>
      </c>
      <c r="AE86" s="111"/>
      <c r="AF86" s="111"/>
      <c r="AG86" s="112">
        <f>SUM(M86:Q86)+SUM(S86:AC86)+SUM(AE86:AF86)</f>
        <v>35</v>
      </c>
      <c r="AH86" s="111"/>
      <c r="AI86" s="111"/>
      <c r="AJ86" s="111"/>
      <c r="AK86" s="8">
        <v>6</v>
      </c>
      <c r="AL86" s="8"/>
      <c r="AM86" s="8"/>
      <c r="AN86" s="111"/>
      <c r="AO86" s="112">
        <f t="shared" si="40"/>
        <v>6</v>
      </c>
      <c r="AP86" s="111">
        <f>SUM(M86:Q86)+SUM(S86:X86)+SUM(AE86:AF86)+SUM(AH86:AM86)</f>
        <v>41</v>
      </c>
      <c r="AQ86" s="111">
        <f>SUM(Y86:AC86)+AN86</f>
        <v>0</v>
      </c>
      <c r="AR86" s="113">
        <f t="shared" si="41"/>
        <v>41</v>
      </c>
    </row>
    <row r="87" spans="1:44" ht="20.100000000000001" customHeight="1" x14ac:dyDescent="0.3">
      <c r="A87" s="104" t="s">
        <v>116</v>
      </c>
      <c r="B87" s="4" t="s">
        <v>118</v>
      </c>
      <c r="C87" s="107">
        <v>35</v>
      </c>
      <c r="D87" s="108">
        <v>25</v>
      </c>
      <c r="E87" s="121">
        <f t="shared" si="37"/>
        <v>-10</v>
      </c>
      <c r="F87" s="109" t="s">
        <v>184</v>
      </c>
      <c r="G87" s="106" t="s">
        <v>206</v>
      </c>
      <c r="H87" s="123" t="s">
        <v>207</v>
      </c>
      <c r="I87" s="97"/>
      <c r="J87" s="8"/>
      <c r="K87" s="111">
        <f t="shared" si="38"/>
        <v>25</v>
      </c>
      <c r="L87" s="111">
        <f>SUM(M87:Q87)+SUM(S87:X87)+SUM(AE87:AF87)+SUM(AH87:AM87)</f>
        <v>25</v>
      </c>
      <c r="M87" s="8">
        <v>3</v>
      </c>
      <c r="N87" s="8">
        <v>3</v>
      </c>
      <c r="O87" s="8"/>
      <c r="P87" s="8"/>
      <c r="Q87" s="8">
        <v>3</v>
      </c>
      <c r="R87" s="112">
        <f t="shared" si="39"/>
        <v>9</v>
      </c>
      <c r="S87" s="8">
        <v>5</v>
      </c>
      <c r="T87" s="8">
        <v>7</v>
      </c>
      <c r="U87" s="8"/>
      <c r="V87" s="8"/>
      <c r="W87" s="8">
        <v>2</v>
      </c>
      <c r="X87" s="8"/>
      <c r="Y87" s="8"/>
      <c r="Z87" s="8"/>
      <c r="AA87" s="8"/>
      <c r="AB87" s="8"/>
      <c r="AC87" s="8"/>
      <c r="AD87" s="112">
        <f>SUM(S87:AC87)</f>
        <v>14</v>
      </c>
      <c r="AE87" s="111"/>
      <c r="AF87" s="111"/>
      <c r="AG87" s="112">
        <f>SUM(M87:Q87)+SUM(S87:AC87)+SUM(AE87:AF87)</f>
        <v>23</v>
      </c>
      <c r="AH87" s="111"/>
      <c r="AI87" s="111"/>
      <c r="AJ87" s="111"/>
      <c r="AK87" s="8">
        <v>2</v>
      </c>
      <c r="AL87" s="8"/>
      <c r="AM87" s="8"/>
      <c r="AN87" s="111"/>
      <c r="AO87" s="112">
        <f t="shared" si="40"/>
        <v>2</v>
      </c>
      <c r="AP87" s="111">
        <f>SUM(M87:Q87)+SUM(S87:X87)+SUM(AE87:AF87)+SUM(AH87:AM87)</f>
        <v>25</v>
      </c>
      <c r="AQ87" s="111">
        <f>SUM(Y87:AC87)+AN87</f>
        <v>0</v>
      </c>
      <c r="AR87" s="113">
        <f t="shared" si="41"/>
        <v>25</v>
      </c>
    </row>
    <row r="88" spans="1:44" ht="20.100000000000001" customHeight="1" x14ac:dyDescent="0.3">
      <c r="A88" s="105" t="s">
        <v>36</v>
      </c>
      <c r="B88" s="7" t="s">
        <v>139</v>
      </c>
      <c r="C88" s="114">
        <f>SUM(C86:C87)</f>
        <v>86</v>
      </c>
      <c r="D88" s="115">
        <f t="shared" ref="D88:AR88" si="45">SUM(D86:D87)</f>
        <v>66</v>
      </c>
      <c r="E88" s="114">
        <f t="shared" si="45"/>
        <v>-20</v>
      </c>
      <c r="F88" s="114">
        <f t="shared" si="45"/>
        <v>0</v>
      </c>
      <c r="G88" s="114">
        <f t="shared" si="45"/>
        <v>0</v>
      </c>
      <c r="H88" s="116">
        <f t="shared" si="45"/>
        <v>0</v>
      </c>
      <c r="I88" s="116">
        <f t="shared" si="45"/>
        <v>0</v>
      </c>
      <c r="J88" s="114">
        <f t="shared" si="45"/>
        <v>0</v>
      </c>
      <c r="K88" s="114">
        <f t="shared" si="45"/>
        <v>66</v>
      </c>
      <c r="L88" s="114">
        <f t="shared" si="45"/>
        <v>66</v>
      </c>
      <c r="M88" s="114">
        <f t="shared" si="45"/>
        <v>8</v>
      </c>
      <c r="N88" s="114">
        <f t="shared" si="45"/>
        <v>6</v>
      </c>
      <c r="O88" s="114">
        <f t="shared" si="45"/>
        <v>0</v>
      </c>
      <c r="P88" s="114">
        <f t="shared" si="45"/>
        <v>0</v>
      </c>
      <c r="Q88" s="114">
        <f t="shared" si="45"/>
        <v>6</v>
      </c>
      <c r="R88" s="114">
        <f t="shared" si="45"/>
        <v>20</v>
      </c>
      <c r="S88" s="114">
        <f t="shared" si="45"/>
        <v>16</v>
      </c>
      <c r="T88" s="114">
        <f t="shared" si="45"/>
        <v>18</v>
      </c>
      <c r="U88" s="114">
        <f t="shared" si="45"/>
        <v>0</v>
      </c>
      <c r="V88" s="114">
        <f t="shared" si="45"/>
        <v>0</v>
      </c>
      <c r="W88" s="114">
        <f t="shared" si="45"/>
        <v>4</v>
      </c>
      <c r="X88" s="114">
        <f t="shared" si="45"/>
        <v>0</v>
      </c>
      <c r="Y88" s="114">
        <f t="shared" si="45"/>
        <v>0</v>
      </c>
      <c r="Z88" s="114">
        <f t="shared" si="45"/>
        <v>0</v>
      </c>
      <c r="AA88" s="114">
        <f t="shared" si="45"/>
        <v>0</v>
      </c>
      <c r="AB88" s="114">
        <f t="shared" si="45"/>
        <v>0</v>
      </c>
      <c r="AC88" s="114">
        <f t="shared" si="45"/>
        <v>0</v>
      </c>
      <c r="AD88" s="114">
        <f t="shared" si="45"/>
        <v>38</v>
      </c>
      <c r="AE88" s="114">
        <f t="shared" si="45"/>
        <v>0</v>
      </c>
      <c r="AF88" s="114">
        <f t="shared" si="45"/>
        <v>0</v>
      </c>
      <c r="AG88" s="114">
        <f t="shared" si="45"/>
        <v>58</v>
      </c>
      <c r="AH88" s="114">
        <f t="shared" si="45"/>
        <v>0</v>
      </c>
      <c r="AI88" s="114">
        <f t="shared" si="45"/>
        <v>0</v>
      </c>
      <c r="AJ88" s="114">
        <f t="shared" si="45"/>
        <v>0</v>
      </c>
      <c r="AK88" s="114">
        <f t="shared" si="45"/>
        <v>8</v>
      </c>
      <c r="AL88" s="114">
        <f t="shared" si="45"/>
        <v>0</v>
      </c>
      <c r="AM88" s="114">
        <f t="shared" si="45"/>
        <v>0</v>
      </c>
      <c r="AN88" s="114">
        <f t="shared" si="45"/>
        <v>0</v>
      </c>
      <c r="AO88" s="114">
        <f t="shared" si="45"/>
        <v>8</v>
      </c>
      <c r="AP88" s="114">
        <f t="shared" si="45"/>
        <v>66</v>
      </c>
      <c r="AQ88" s="114">
        <f t="shared" si="45"/>
        <v>0</v>
      </c>
      <c r="AR88" s="117">
        <f t="shared" si="45"/>
        <v>66</v>
      </c>
    </row>
    <row r="89" spans="1:44" x14ac:dyDescent="0.3">
      <c r="A89" s="265" t="s">
        <v>119</v>
      </c>
      <c r="B89" s="266"/>
      <c r="C89" s="88">
        <f>C88+C85+C79+C73+C71+C64+C66+C62+C60+C56+C49+C36+C23+C19+C12+C7</f>
        <v>3156</v>
      </c>
      <c r="D89" s="125">
        <f>D88+D85+D79+D73+D71+D64+D66+D62+D60+D56+D49+D36+D23+D19+D12+D7</f>
        <v>3219</v>
      </c>
      <c r="E89" s="126">
        <f>E88+E85+E79+E73+E71+E64+E66+E62+E60+E56+E49+E36+E23+E19+E12+E7</f>
        <v>63</v>
      </c>
      <c r="F89" s="127">
        <f>F88+F85+F79+F73+F71+F64+F66+F62+F60+F56+F49+F36+F23+F19+F12+F7</f>
        <v>0</v>
      </c>
      <c r="G89" s="86"/>
      <c r="H89" s="87"/>
      <c r="I89" s="87"/>
      <c r="J89" s="88">
        <f t="shared" ref="J89:AA89" si="46">J88+J85+J79+J73+J71+J64+J66+J62+J60+J56+J49+J36+J23+J19+J12+J7</f>
        <v>0</v>
      </c>
      <c r="K89" s="88">
        <f t="shared" si="46"/>
        <v>3219</v>
      </c>
      <c r="L89" s="88">
        <f t="shared" si="46"/>
        <v>3219</v>
      </c>
      <c r="M89" s="89">
        <f t="shared" si="46"/>
        <v>490</v>
      </c>
      <c r="N89" s="89">
        <f t="shared" si="46"/>
        <v>345</v>
      </c>
      <c r="O89" s="89">
        <f t="shared" si="46"/>
        <v>30</v>
      </c>
      <c r="P89" s="89">
        <f t="shared" si="46"/>
        <v>0</v>
      </c>
      <c r="Q89" s="89">
        <f t="shared" si="46"/>
        <v>108</v>
      </c>
      <c r="R89" s="89">
        <f t="shared" si="46"/>
        <v>973</v>
      </c>
      <c r="S89" s="89">
        <f t="shared" si="46"/>
        <v>770</v>
      </c>
      <c r="T89" s="89">
        <f t="shared" si="46"/>
        <v>527</v>
      </c>
      <c r="U89" s="89">
        <f t="shared" si="46"/>
        <v>6</v>
      </c>
      <c r="V89" s="90">
        <f t="shared" si="46"/>
        <v>7</v>
      </c>
      <c r="W89" s="89">
        <f t="shared" si="46"/>
        <v>77</v>
      </c>
      <c r="X89" s="89">
        <f t="shared" si="46"/>
        <v>12</v>
      </c>
      <c r="Y89" s="90">
        <f t="shared" si="46"/>
        <v>125</v>
      </c>
      <c r="Z89" s="90">
        <f t="shared" si="46"/>
        <v>4</v>
      </c>
      <c r="AA89" s="90">
        <f t="shared" si="46"/>
        <v>43</v>
      </c>
      <c r="AB89" s="91">
        <v>30</v>
      </c>
      <c r="AC89" s="89">
        <f>AC88+AC85+AC79+AC73+AC71+AC64+AC66+AC62+AC60+AC56+AC49+AC36+AC23+AC19+AC12+AC7</f>
        <v>6</v>
      </c>
      <c r="AD89" s="91">
        <f>AD88+AD85+AD79+AD73+AD71+AD64+AD66+AD62+AD60+AD56+AD49+AD36+AD23+AD19+AD12+AD7+20</f>
        <v>1607</v>
      </c>
      <c r="AE89" s="89">
        <f>AE88+AE85+AE79+AE73+AE71+AE64+AE66+AE62+AE60+AE56+AE49+AE36+AE23+AE19+AE12+AE7</f>
        <v>100</v>
      </c>
      <c r="AF89" s="89">
        <f>AF88+AF85+AF79+AF73+AF71+AF64+AF66+AF62+AF60+AF56+AF49+AF36+AF23+AF19+AF12+AF7</f>
        <v>11</v>
      </c>
      <c r="AG89" s="91">
        <f>AG88+AG85+AG79+AG73+AG71+AG64+AG66+AG62+AG60+AG56+AG49+AG36+AG23+AG19+AG12+AG7+20</f>
        <v>2691</v>
      </c>
      <c r="AH89" s="89">
        <f t="shared" ref="AH89:AP89" si="47">AH88+AH85+AH79+AH73+AH71+AH64+AH66+AH62+AH60+AH56+AH49+AH36+AH23+AH19+AH12+AH7</f>
        <v>357</v>
      </c>
      <c r="AI89" s="89">
        <f t="shared" si="47"/>
        <v>17</v>
      </c>
      <c r="AJ89" s="92">
        <f t="shared" si="47"/>
        <v>9</v>
      </c>
      <c r="AK89" s="89">
        <f t="shared" si="47"/>
        <v>349</v>
      </c>
      <c r="AL89" s="89">
        <f t="shared" si="47"/>
        <v>4</v>
      </c>
      <c r="AM89" s="92">
        <f t="shared" si="47"/>
        <v>0</v>
      </c>
      <c r="AN89" s="89">
        <f t="shared" si="47"/>
        <v>9</v>
      </c>
      <c r="AO89" s="89">
        <f t="shared" si="47"/>
        <v>745</v>
      </c>
      <c r="AP89" s="89">
        <f t="shared" si="47"/>
        <v>3219</v>
      </c>
      <c r="AQ89" s="91">
        <f>AQ88+AQ85+AQ79+AQ73+AQ71+AQ64+AQ66+AQ62+AQ60+AQ56+AQ49+AQ36+AQ23+AQ19+AQ12+AQ7+20</f>
        <v>217</v>
      </c>
      <c r="AR89" s="93">
        <f>AR88+AR85+AR79+AR73+AR71+AR64+AR66+AR62+AR60+AR56+AR49+AR36+AR23+AR19+AR12+AR7+20</f>
        <v>3436</v>
      </c>
    </row>
    <row r="90" spans="1:44" ht="17.25" thickBot="1" x14ac:dyDescent="0.35">
      <c r="A90" s="267"/>
      <c r="B90" s="245"/>
      <c r="C90" s="128"/>
      <c r="D90" s="129"/>
      <c r="E90" s="128"/>
      <c r="F90" s="130"/>
      <c r="G90" s="131"/>
      <c r="H90" s="132"/>
      <c r="I90" s="132"/>
      <c r="J90" s="133"/>
      <c r="K90" s="134"/>
      <c r="L90" s="134"/>
      <c r="M90" s="94">
        <f t="shared" ref="M90:AR90" si="48">M89/$AR$89*100</f>
        <v>14.260768335273575</v>
      </c>
      <c r="N90" s="94">
        <f t="shared" si="48"/>
        <v>10.040745052386496</v>
      </c>
      <c r="O90" s="94">
        <f t="shared" si="48"/>
        <v>0.8731082654249126</v>
      </c>
      <c r="P90" s="94"/>
      <c r="Q90" s="94">
        <f t="shared" si="48"/>
        <v>3.1431897555296859</v>
      </c>
      <c r="R90" s="94">
        <f t="shared" si="48"/>
        <v>28.317811408614666</v>
      </c>
      <c r="S90" s="94">
        <f t="shared" si="48"/>
        <v>22.40977881257276</v>
      </c>
      <c r="T90" s="94">
        <f t="shared" si="48"/>
        <v>15.337601862630967</v>
      </c>
      <c r="U90" s="94">
        <f t="shared" si="48"/>
        <v>0.17462165308498254</v>
      </c>
      <c r="V90" s="94">
        <f t="shared" si="48"/>
        <v>0.20372526193247961</v>
      </c>
      <c r="W90" s="94">
        <f t="shared" si="48"/>
        <v>2.2409778812572756</v>
      </c>
      <c r="X90" s="94">
        <f t="shared" si="48"/>
        <v>0.34924330616996507</v>
      </c>
      <c r="Y90" s="94">
        <f t="shared" si="48"/>
        <v>3.6379511059371366</v>
      </c>
      <c r="Z90" s="94">
        <f t="shared" si="48"/>
        <v>0.11641443538998836</v>
      </c>
      <c r="AA90" s="94">
        <f t="shared" si="48"/>
        <v>1.2514551804423748</v>
      </c>
      <c r="AB90" s="94">
        <f t="shared" si="48"/>
        <v>0.8731082654249126</v>
      </c>
      <c r="AC90" s="94">
        <f t="shared" si="48"/>
        <v>0.17462165308498254</v>
      </c>
      <c r="AD90" s="94">
        <f t="shared" si="48"/>
        <v>46.769499417927825</v>
      </c>
      <c r="AE90" s="94">
        <f t="shared" si="48"/>
        <v>2.9103608847497089</v>
      </c>
      <c r="AF90" s="94">
        <f t="shared" si="48"/>
        <v>0.32013969732246794</v>
      </c>
      <c r="AG90" s="94">
        <f t="shared" si="48"/>
        <v>78.317811408614673</v>
      </c>
      <c r="AH90" s="94">
        <f t="shared" si="48"/>
        <v>10.389988358556462</v>
      </c>
      <c r="AI90" s="94">
        <f t="shared" si="48"/>
        <v>0.49476135040745051</v>
      </c>
      <c r="AJ90" s="95">
        <f t="shared" si="48"/>
        <v>0.26193247962747379</v>
      </c>
      <c r="AK90" s="94">
        <f t="shared" si="48"/>
        <v>10.157159487776484</v>
      </c>
      <c r="AL90" s="94">
        <f t="shared" si="48"/>
        <v>0.11641443538998836</v>
      </c>
      <c r="AM90" s="95">
        <f t="shared" si="48"/>
        <v>0</v>
      </c>
      <c r="AN90" s="94">
        <f t="shared" si="48"/>
        <v>0.26193247962747379</v>
      </c>
      <c r="AO90" s="94">
        <f t="shared" si="48"/>
        <v>21.682188591385334</v>
      </c>
      <c r="AP90" s="94">
        <f t="shared" si="48"/>
        <v>93.684516880093128</v>
      </c>
      <c r="AQ90" s="94">
        <f t="shared" si="48"/>
        <v>6.3154831199068688</v>
      </c>
      <c r="AR90" s="96">
        <f t="shared" si="48"/>
        <v>100</v>
      </c>
    </row>
  </sheetData>
  <autoFilter ref="A5:AR90"/>
  <mergeCells count="33">
    <mergeCell ref="A1:AR1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M2:AG2"/>
    <mergeCell ref="AH2:AO2"/>
    <mergeCell ref="AP2:AQ4"/>
    <mergeCell ref="S4:X4"/>
    <mergeCell ref="Y4:AC4"/>
    <mergeCell ref="AD4:AD5"/>
    <mergeCell ref="AR2:AR5"/>
    <mergeCell ref="M3:R3"/>
    <mergeCell ref="S3:AD3"/>
    <mergeCell ref="AE3:AF3"/>
    <mergeCell ref="AG3:AG5"/>
    <mergeCell ref="AH3:AJ3"/>
    <mergeCell ref="AK3:AN3"/>
    <mergeCell ref="AO3:AO5"/>
    <mergeCell ref="M4:Q4"/>
    <mergeCell ref="R4:R5"/>
    <mergeCell ref="L2:L5"/>
    <mergeCell ref="AE4:AF4"/>
    <mergeCell ref="AH4:AJ4"/>
    <mergeCell ref="AK4:AM4"/>
    <mergeCell ref="A89:B90"/>
    <mergeCell ref="J2:J5"/>
    <mergeCell ref="K2:K5"/>
  </mergeCells>
  <phoneticPr fontId="3" type="noConversion"/>
  <pageMargins left="0.70866141732283472" right="0.70866141732283472" top="0.74803149606299213" bottom="0.74803149606299213" header="0.31496062992125984" footer="0.31496062992125984"/>
  <pageSetup paperSize="8" scale="63" fitToHeight="2" orientation="landscape" r:id="rId1"/>
  <rowBreaks count="1" manualBreakCount="1">
    <brk id="66" max="4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1:AP95"/>
  <sheetViews>
    <sheetView zoomScaleNormal="100" zoomScaleSheetLayoutView="70" workbookViewId="0">
      <pane xSplit="2" ySplit="5" topLeftCell="C15" activePane="bottomRight" state="frozen"/>
      <selection pane="topRight" activeCell="C1" sqref="C1"/>
      <selection pane="bottomLeft" activeCell="A6" sqref="A6"/>
      <selection pane="bottomRight" activeCell="G26" sqref="G26"/>
    </sheetView>
  </sheetViews>
  <sheetFormatPr defaultRowHeight="16.5" x14ac:dyDescent="0.3"/>
  <cols>
    <col min="1" max="1" width="16.625" hidden="1" customWidth="1"/>
    <col min="2" max="2" width="21" style="3" customWidth="1"/>
    <col min="3" max="3" width="7.875" style="5" customWidth="1"/>
    <col min="4" max="5" width="7.5" customWidth="1"/>
    <col min="6" max="6" width="6.375" customWidth="1"/>
    <col min="7" max="10" width="6.125" customWidth="1"/>
    <col min="11" max="11" width="6.25" customWidth="1"/>
    <col min="12" max="12" width="8.25" customWidth="1"/>
    <col min="13" max="13" width="8.375" customWidth="1"/>
    <col min="14" max="14" width="7" customWidth="1"/>
    <col min="15" max="15" width="8.375" customWidth="1"/>
    <col min="16" max="17" width="6.125" customWidth="1"/>
    <col min="18" max="18" width="6.25" customWidth="1"/>
    <col min="19" max="19" width="8.5" customWidth="1"/>
    <col min="20" max="20" width="7.125" customWidth="1"/>
    <col min="21" max="21" width="6.625" customWidth="1"/>
    <col min="22" max="22" width="9.25" bestFit="1" customWidth="1"/>
    <col min="23" max="23" width="6" customWidth="1"/>
    <col min="24" max="24" width="6.375" customWidth="1"/>
    <col min="25" max="25" width="8.25" bestFit="1" customWidth="1"/>
    <col min="26" max="27" width="6.25" customWidth="1"/>
    <col min="28" max="28" width="5.375" customWidth="1"/>
    <col min="29" max="34" width="6.25" customWidth="1"/>
    <col min="35" max="38" width="6.5" customWidth="1"/>
    <col min="39" max="39" width="8.75" bestFit="1" customWidth="1"/>
    <col min="40" max="40" width="5.875" customWidth="1"/>
    <col min="42" max="42" width="9.875" style="9" customWidth="1"/>
  </cols>
  <sheetData>
    <row r="1" spans="1:42" ht="27" thickBot="1" x14ac:dyDescent="0.35">
      <c r="A1" s="298" t="s">
        <v>215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300"/>
    </row>
    <row r="2" spans="1:42" s="140" customFormat="1" ht="16.5" customHeight="1" x14ac:dyDescent="0.3">
      <c r="A2" s="301" t="s">
        <v>0</v>
      </c>
      <c r="B2" s="303" t="s">
        <v>1</v>
      </c>
      <c r="C2" s="305" t="s">
        <v>146</v>
      </c>
      <c r="D2" s="307" t="s">
        <v>216</v>
      </c>
      <c r="E2" s="307" t="s">
        <v>217</v>
      </c>
      <c r="F2" s="309" t="s">
        <v>2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 t="s">
        <v>3</v>
      </c>
      <c r="AA2" s="309"/>
      <c r="AB2" s="309"/>
      <c r="AC2" s="309"/>
      <c r="AD2" s="309"/>
      <c r="AE2" s="309"/>
      <c r="AF2" s="309"/>
      <c r="AG2" s="309"/>
      <c r="AH2" s="309"/>
      <c r="AI2" s="309"/>
      <c r="AJ2" s="310" t="s">
        <v>212</v>
      </c>
      <c r="AK2" s="311"/>
      <c r="AL2" s="311"/>
      <c r="AM2" s="301" t="s">
        <v>4</v>
      </c>
      <c r="AN2" s="309"/>
      <c r="AO2" s="312" t="s">
        <v>5</v>
      </c>
      <c r="AP2" s="139"/>
    </row>
    <row r="3" spans="1:42" s="140" customFormat="1" ht="16.5" customHeight="1" x14ac:dyDescent="0.3">
      <c r="A3" s="302"/>
      <c r="B3" s="304"/>
      <c r="C3" s="306"/>
      <c r="D3" s="308"/>
      <c r="E3" s="308"/>
      <c r="F3" s="290" t="s">
        <v>6</v>
      </c>
      <c r="G3" s="290"/>
      <c r="H3" s="290"/>
      <c r="I3" s="290"/>
      <c r="J3" s="290"/>
      <c r="K3" s="290"/>
      <c r="L3" s="290"/>
      <c r="M3" s="290" t="s">
        <v>7</v>
      </c>
      <c r="N3" s="290"/>
      <c r="O3" s="290"/>
      <c r="P3" s="290"/>
      <c r="Q3" s="290"/>
      <c r="R3" s="290"/>
      <c r="S3" s="290"/>
      <c r="T3" s="290"/>
      <c r="U3" s="290"/>
      <c r="V3" s="290"/>
      <c r="W3" s="290" t="s">
        <v>8</v>
      </c>
      <c r="X3" s="290"/>
      <c r="Y3" s="288" t="s">
        <v>9</v>
      </c>
      <c r="Z3" s="290" t="s">
        <v>10</v>
      </c>
      <c r="AA3" s="290"/>
      <c r="AB3" s="290"/>
      <c r="AC3" s="290" t="s">
        <v>11</v>
      </c>
      <c r="AD3" s="290"/>
      <c r="AE3" s="290"/>
      <c r="AF3" s="292" t="s">
        <v>214</v>
      </c>
      <c r="AG3" s="293"/>
      <c r="AH3" s="293"/>
      <c r="AI3" s="288" t="s">
        <v>12</v>
      </c>
      <c r="AJ3" s="294" t="s">
        <v>211</v>
      </c>
      <c r="AK3" s="295"/>
      <c r="AL3" s="295"/>
      <c r="AM3" s="302"/>
      <c r="AN3" s="290"/>
      <c r="AO3" s="313"/>
      <c r="AP3" s="139"/>
    </row>
    <row r="4" spans="1:42" s="140" customFormat="1" ht="13.5" x14ac:dyDescent="0.3">
      <c r="A4" s="302"/>
      <c r="B4" s="304"/>
      <c r="C4" s="306"/>
      <c r="D4" s="308"/>
      <c r="E4" s="308"/>
      <c r="F4" s="290" t="s">
        <v>13</v>
      </c>
      <c r="G4" s="290"/>
      <c r="H4" s="290"/>
      <c r="I4" s="290"/>
      <c r="J4" s="290"/>
      <c r="K4" s="290"/>
      <c r="L4" s="288" t="s">
        <v>14</v>
      </c>
      <c r="M4" s="290" t="s">
        <v>13</v>
      </c>
      <c r="N4" s="290"/>
      <c r="O4" s="290"/>
      <c r="P4" s="290"/>
      <c r="Q4" s="290"/>
      <c r="R4" s="291" t="s">
        <v>15</v>
      </c>
      <c r="S4" s="291"/>
      <c r="T4" s="291"/>
      <c r="U4" s="291"/>
      <c r="V4" s="288" t="s">
        <v>16</v>
      </c>
      <c r="W4" s="290" t="s">
        <v>13</v>
      </c>
      <c r="X4" s="290"/>
      <c r="Y4" s="289"/>
      <c r="Z4" s="290" t="s">
        <v>13</v>
      </c>
      <c r="AA4" s="290"/>
      <c r="AB4" s="290"/>
      <c r="AC4" s="290" t="s">
        <v>13</v>
      </c>
      <c r="AD4" s="290"/>
      <c r="AE4" s="290"/>
      <c r="AF4" s="292" t="s">
        <v>209</v>
      </c>
      <c r="AG4" s="293"/>
      <c r="AH4" s="293"/>
      <c r="AI4" s="289"/>
      <c r="AJ4" s="135" t="s">
        <v>209</v>
      </c>
      <c r="AK4" s="296" t="s">
        <v>140</v>
      </c>
      <c r="AL4" s="297"/>
      <c r="AM4" s="302"/>
      <c r="AN4" s="290"/>
      <c r="AO4" s="313"/>
      <c r="AP4" s="139"/>
    </row>
    <row r="5" spans="1:42" s="140" customFormat="1" ht="43.5" customHeight="1" x14ac:dyDescent="0.3">
      <c r="A5" s="302"/>
      <c r="B5" s="304"/>
      <c r="C5" s="306"/>
      <c r="D5" s="308"/>
      <c r="E5" s="308"/>
      <c r="F5" s="136" t="s">
        <v>218</v>
      </c>
      <c r="G5" s="136" t="s">
        <v>219</v>
      </c>
      <c r="H5" s="136" t="s">
        <v>19</v>
      </c>
      <c r="I5" s="136" t="s">
        <v>213</v>
      </c>
      <c r="J5" s="135" t="s">
        <v>150</v>
      </c>
      <c r="K5" s="136" t="s">
        <v>17</v>
      </c>
      <c r="L5" s="289"/>
      <c r="M5" s="135" t="s">
        <v>18</v>
      </c>
      <c r="N5" s="136" t="s">
        <v>19</v>
      </c>
      <c r="O5" s="136" t="s">
        <v>21</v>
      </c>
      <c r="P5" s="136" t="s">
        <v>22</v>
      </c>
      <c r="Q5" s="136" t="s">
        <v>23</v>
      </c>
      <c r="R5" s="136" t="s">
        <v>24</v>
      </c>
      <c r="S5" s="136" t="s">
        <v>25</v>
      </c>
      <c r="T5" s="136" t="s">
        <v>26</v>
      </c>
      <c r="U5" s="136" t="s">
        <v>27</v>
      </c>
      <c r="V5" s="289"/>
      <c r="W5" s="136" t="s">
        <v>23</v>
      </c>
      <c r="X5" s="136" t="s">
        <v>29</v>
      </c>
      <c r="Y5" s="289"/>
      <c r="Z5" s="136" t="s">
        <v>30</v>
      </c>
      <c r="AA5" s="136" t="s">
        <v>148</v>
      </c>
      <c r="AB5" s="136" t="s">
        <v>31</v>
      </c>
      <c r="AC5" s="136" t="s">
        <v>30</v>
      </c>
      <c r="AD5" s="136" t="s">
        <v>148</v>
      </c>
      <c r="AE5" s="136" t="s">
        <v>31</v>
      </c>
      <c r="AF5" s="136" t="s">
        <v>30</v>
      </c>
      <c r="AG5" s="136" t="s">
        <v>148</v>
      </c>
      <c r="AH5" s="136" t="s">
        <v>220</v>
      </c>
      <c r="AI5" s="289"/>
      <c r="AJ5" s="136" t="s">
        <v>20</v>
      </c>
      <c r="AK5" s="135" t="s">
        <v>28</v>
      </c>
      <c r="AL5" s="141" t="s">
        <v>210</v>
      </c>
      <c r="AM5" s="142" t="s">
        <v>32</v>
      </c>
      <c r="AN5" s="136" t="s">
        <v>33</v>
      </c>
      <c r="AO5" s="313"/>
      <c r="AP5" s="139"/>
    </row>
    <row r="6" spans="1:42" x14ac:dyDescent="0.3">
      <c r="A6" s="104" t="s">
        <v>34</v>
      </c>
      <c r="B6" s="4" t="s">
        <v>35</v>
      </c>
      <c r="C6" s="143">
        <v>85</v>
      </c>
      <c r="D6" s="144"/>
      <c r="E6" s="145">
        <f>C6+D6</f>
        <v>85</v>
      </c>
      <c r="F6" s="144">
        <v>15</v>
      </c>
      <c r="G6" s="145">
        <v>7</v>
      </c>
      <c r="H6" s="145"/>
      <c r="I6" s="145"/>
      <c r="J6" s="145"/>
      <c r="K6" s="145">
        <v>2</v>
      </c>
      <c r="L6" s="146">
        <f>SUM(F6:K6)</f>
        <v>24</v>
      </c>
      <c r="M6" s="144">
        <v>25</v>
      </c>
      <c r="N6" s="144">
        <v>14</v>
      </c>
      <c r="O6" s="145">
        <v>2</v>
      </c>
      <c r="P6" s="145"/>
      <c r="Q6" s="145"/>
      <c r="R6" s="145"/>
      <c r="S6" s="145"/>
      <c r="T6" s="145"/>
      <c r="U6" s="145"/>
      <c r="V6" s="146">
        <f>SUM(M6:U6)</f>
        <v>41</v>
      </c>
      <c r="W6" s="145"/>
      <c r="X6" s="145"/>
      <c r="Y6" s="146">
        <f>SUM(F6:K6)+SUM(M6:U6)+SUM(W6:X6)</f>
        <v>65</v>
      </c>
      <c r="Z6" s="145"/>
      <c r="AA6" s="145"/>
      <c r="AB6" s="145"/>
      <c r="AC6" s="144">
        <v>17</v>
      </c>
      <c r="AD6" s="144">
        <v>3</v>
      </c>
      <c r="AE6" s="144"/>
      <c r="AF6" s="145"/>
      <c r="AG6" s="145"/>
      <c r="AH6" s="145"/>
      <c r="AI6" s="146">
        <f>SUM(Z6:AE6)</f>
        <v>20</v>
      </c>
      <c r="AJ6" s="8"/>
      <c r="AK6" s="8"/>
      <c r="AL6" s="137"/>
      <c r="AM6" s="147">
        <f>SUM(F6:K6)+SUM(M6:Q6)+SUM(W6:X6)+SUM(Z6:AH6)+AJ6</f>
        <v>85</v>
      </c>
      <c r="AN6" s="145">
        <f>SUM(R6:U6)+SUM(AK6:AL6)</f>
        <v>0</v>
      </c>
      <c r="AO6" s="148">
        <f>AM6+AN6</f>
        <v>85</v>
      </c>
    </row>
    <row r="7" spans="1:42" s="155" customFormat="1" ht="20.100000000000001" customHeight="1" x14ac:dyDescent="0.3">
      <c r="A7" s="105" t="s">
        <v>36</v>
      </c>
      <c r="B7" s="7" t="s">
        <v>123</v>
      </c>
      <c r="C7" s="149">
        <f t="shared" ref="C7:AO7" si="0">SUM(C6)</f>
        <v>85</v>
      </c>
      <c r="D7" s="114">
        <f t="shared" si="0"/>
        <v>0</v>
      </c>
      <c r="E7" s="114">
        <f t="shared" si="0"/>
        <v>85</v>
      </c>
      <c r="F7" s="150">
        <f t="shared" si="0"/>
        <v>15</v>
      </c>
      <c r="G7" s="150">
        <f t="shared" si="0"/>
        <v>7</v>
      </c>
      <c r="H7" s="150">
        <f t="shared" si="0"/>
        <v>0</v>
      </c>
      <c r="I7" s="150">
        <f t="shared" si="0"/>
        <v>0</v>
      </c>
      <c r="J7" s="150">
        <f t="shared" si="0"/>
        <v>0</v>
      </c>
      <c r="K7" s="150">
        <f t="shared" si="0"/>
        <v>2</v>
      </c>
      <c r="L7" s="150">
        <f t="shared" si="0"/>
        <v>24</v>
      </c>
      <c r="M7" s="150">
        <f t="shared" si="0"/>
        <v>25</v>
      </c>
      <c r="N7" s="150">
        <f t="shared" si="0"/>
        <v>14</v>
      </c>
      <c r="O7" s="150">
        <f t="shared" si="0"/>
        <v>2</v>
      </c>
      <c r="P7" s="150">
        <f t="shared" si="0"/>
        <v>0</v>
      </c>
      <c r="Q7" s="150">
        <f t="shared" si="0"/>
        <v>0</v>
      </c>
      <c r="R7" s="150">
        <f t="shared" si="0"/>
        <v>0</v>
      </c>
      <c r="S7" s="150">
        <f t="shared" si="0"/>
        <v>0</v>
      </c>
      <c r="T7" s="150">
        <f t="shared" si="0"/>
        <v>0</v>
      </c>
      <c r="U7" s="150">
        <f t="shared" si="0"/>
        <v>0</v>
      </c>
      <c r="V7" s="150">
        <f t="shared" si="0"/>
        <v>41</v>
      </c>
      <c r="W7" s="150">
        <f t="shared" si="0"/>
        <v>0</v>
      </c>
      <c r="X7" s="150">
        <f t="shared" si="0"/>
        <v>0</v>
      </c>
      <c r="Y7" s="150">
        <f t="shared" si="0"/>
        <v>65</v>
      </c>
      <c r="Z7" s="150">
        <f t="shared" si="0"/>
        <v>0</v>
      </c>
      <c r="AA7" s="150">
        <f t="shared" si="0"/>
        <v>0</v>
      </c>
      <c r="AB7" s="150">
        <f t="shared" si="0"/>
        <v>0</v>
      </c>
      <c r="AC7" s="150">
        <f t="shared" si="0"/>
        <v>17</v>
      </c>
      <c r="AD7" s="150">
        <f t="shared" si="0"/>
        <v>3</v>
      </c>
      <c r="AE7" s="150">
        <f t="shared" si="0"/>
        <v>0</v>
      </c>
      <c r="AF7" s="150">
        <f t="shared" si="0"/>
        <v>0</v>
      </c>
      <c r="AG7" s="150">
        <f t="shared" si="0"/>
        <v>0</v>
      </c>
      <c r="AH7" s="150">
        <f t="shared" si="0"/>
        <v>0</v>
      </c>
      <c r="AI7" s="150">
        <f t="shared" si="0"/>
        <v>20</v>
      </c>
      <c r="AJ7" s="150">
        <f t="shared" si="0"/>
        <v>0</v>
      </c>
      <c r="AK7" s="150">
        <f t="shared" si="0"/>
        <v>0</v>
      </c>
      <c r="AL7" s="151">
        <f t="shared" si="0"/>
        <v>0</v>
      </c>
      <c r="AM7" s="152">
        <f t="shared" si="0"/>
        <v>85</v>
      </c>
      <c r="AN7" s="150">
        <f t="shared" si="0"/>
        <v>0</v>
      </c>
      <c r="AO7" s="153">
        <f t="shared" si="0"/>
        <v>85</v>
      </c>
      <c r="AP7" s="154"/>
    </row>
    <row r="8" spans="1:42" x14ac:dyDescent="0.3">
      <c r="A8" s="104" t="s">
        <v>37</v>
      </c>
      <c r="B8" s="4" t="s">
        <v>38</v>
      </c>
      <c r="C8" s="143">
        <v>188</v>
      </c>
      <c r="D8" s="156"/>
      <c r="E8" s="145">
        <f>C8+D8</f>
        <v>188</v>
      </c>
      <c r="F8" s="144">
        <v>34</v>
      </c>
      <c r="G8" s="144">
        <v>20</v>
      </c>
      <c r="H8" s="144"/>
      <c r="I8" s="144"/>
      <c r="J8" s="144"/>
      <c r="K8" s="144">
        <v>9</v>
      </c>
      <c r="L8" s="146">
        <f>SUM(F8:K8)</f>
        <v>63</v>
      </c>
      <c r="M8" s="144">
        <v>42</v>
      </c>
      <c r="N8" s="144">
        <v>23</v>
      </c>
      <c r="O8" s="144"/>
      <c r="P8" s="144">
        <v>9</v>
      </c>
      <c r="Q8" s="144"/>
      <c r="R8" s="144">
        <v>4</v>
      </c>
      <c r="S8" s="144"/>
      <c r="T8" s="144">
        <v>7</v>
      </c>
      <c r="U8" s="157" t="s">
        <v>39</v>
      </c>
      <c r="V8" s="146">
        <f>SUM(M8:U8)</f>
        <v>85</v>
      </c>
      <c r="W8" s="144"/>
      <c r="X8" s="144"/>
      <c r="Y8" s="146">
        <f>SUM(F8:K8)+SUM(M8:U8)+SUM(W8:X8)</f>
        <v>148</v>
      </c>
      <c r="Z8" s="144">
        <v>51</v>
      </c>
      <c r="AA8" s="144"/>
      <c r="AB8" s="144"/>
      <c r="AC8" s="144"/>
      <c r="AD8" s="144"/>
      <c r="AE8" s="144"/>
      <c r="AF8" s="144"/>
      <c r="AG8" s="144"/>
      <c r="AH8" s="144"/>
      <c r="AI8" s="146">
        <f>SUM(Z8:AE8)</f>
        <v>51</v>
      </c>
      <c r="AJ8" s="8"/>
      <c r="AK8" s="8"/>
      <c r="AL8" s="137"/>
      <c r="AM8" s="147">
        <f t="shared" ref="AM8:AM67" si="1">SUM(F8:K8)+SUM(M8:Q8)+SUM(W8:X8)+SUM(Z8:AH8)+AJ8</f>
        <v>188</v>
      </c>
      <c r="AN8" s="144">
        <f t="shared" ref="AN8:AN67" si="2">SUM(R8:U8)+SUM(AK8:AL8)</f>
        <v>11</v>
      </c>
      <c r="AO8" s="148">
        <f t="shared" ref="AO8:AO74" si="3">AM8+AN8</f>
        <v>199</v>
      </c>
    </row>
    <row r="9" spans="1:42" x14ac:dyDescent="0.3">
      <c r="A9" s="104" t="s">
        <v>37</v>
      </c>
      <c r="B9" s="4" t="s">
        <v>40</v>
      </c>
      <c r="C9" s="143">
        <v>71</v>
      </c>
      <c r="D9" s="144"/>
      <c r="E9" s="145">
        <f>C9+D9</f>
        <v>71</v>
      </c>
      <c r="F9" s="144">
        <v>13</v>
      </c>
      <c r="G9" s="144">
        <v>9</v>
      </c>
      <c r="H9" s="144"/>
      <c r="I9" s="144"/>
      <c r="J9" s="144"/>
      <c r="K9" s="144">
        <v>2</v>
      </c>
      <c r="L9" s="146">
        <f>SUM(F9:K9)</f>
        <v>24</v>
      </c>
      <c r="M9" s="144">
        <v>16</v>
      </c>
      <c r="N9" s="144">
        <v>11</v>
      </c>
      <c r="O9" s="144"/>
      <c r="P9" s="144">
        <v>3</v>
      </c>
      <c r="Q9" s="144"/>
      <c r="R9" s="144">
        <v>3</v>
      </c>
      <c r="S9" s="144"/>
      <c r="T9" s="144"/>
      <c r="U9" s="157" t="s">
        <v>39</v>
      </c>
      <c r="V9" s="146">
        <f>SUM(M9:U9)</f>
        <v>33</v>
      </c>
      <c r="W9" s="144"/>
      <c r="X9" s="144"/>
      <c r="Y9" s="146">
        <f>SUM(F9:K9)+SUM(M9:U9)+SUM(W9:X9)</f>
        <v>57</v>
      </c>
      <c r="Z9" s="144">
        <v>17</v>
      </c>
      <c r="AA9" s="144"/>
      <c r="AB9" s="144"/>
      <c r="AC9" s="144"/>
      <c r="AD9" s="144"/>
      <c r="AE9" s="144"/>
      <c r="AF9" s="144"/>
      <c r="AG9" s="144"/>
      <c r="AH9" s="144"/>
      <c r="AI9" s="146">
        <f>SUM(Z9:AE9)</f>
        <v>17</v>
      </c>
      <c r="AJ9" s="8"/>
      <c r="AK9" s="8"/>
      <c r="AL9" s="137"/>
      <c r="AM9" s="147">
        <f t="shared" si="1"/>
        <v>71</v>
      </c>
      <c r="AN9" s="144">
        <f t="shared" si="2"/>
        <v>3</v>
      </c>
      <c r="AO9" s="148">
        <f t="shared" si="3"/>
        <v>74</v>
      </c>
    </row>
    <row r="10" spans="1:42" ht="20.100000000000001" customHeight="1" x14ac:dyDescent="0.3">
      <c r="A10" s="104" t="s">
        <v>37</v>
      </c>
      <c r="B10" s="4" t="s">
        <v>41</v>
      </c>
      <c r="C10" s="143">
        <v>30</v>
      </c>
      <c r="D10" s="144"/>
      <c r="E10" s="145">
        <f>C10+D10</f>
        <v>30</v>
      </c>
      <c r="F10" s="144">
        <v>7</v>
      </c>
      <c r="G10" s="144">
        <v>4</v>
      </c>
      <c r="H10" s="144"/>
      <c r="I10" s="144"/>
      <c r="J10" s="144"/>
      <c r="K10" s="144">
        <v>2</v>
      </c>
      <c r="L10" s="146">
        <f>SUM(F10:K10)</f>
        <v>13</v>
      </c>
      <c r="M10" s="144">
        <v>6</v>
      </c>
      <c r="N10" s="144">
        <v>4</v>
      </c>
      <c r="O10" s="144"/>
      <c r="P10" s="144">
        <v>2</v>
      </c>
      <c r="Q10" s="144"/>
      <c r="R10" s="144">
        <v>2</v>
      </c>
      <c r="S10" s="144"/>
      <c r="T10" s="144">
        <v>2</v>
      </c>
      <c r="U10" s="157" t="s">
        <v>42</v>
      </c>
      <c r="V10" s="146">
        <f>SUM(M10:U10)</f>
        <v>16</v>
      </c>
      <c r="W10" s="144"/>
      <c r="X10" s="144"/>
      <c r="Y10" s="146">
        <f>SUM(F10:K10)+SUM(M10:U10)+SUM(W10:X10)</f>
        <v>29</v>
      </c>
      <c r="Z10" s="144">
        <v>5</v>
      </c>
      <c r="AA10" s="144"/>
      <c r="AB10" s="144"/>
      <c r="AC10" s="144"/>
      <c r="AD10" s="144"/>
      <c r="AE10" s="144"/>
      <c r="AF10" s="144"/>
      <c r="AG10" s="144"/>
      <c r="AH10" s="144"/>
      <c r="AI10" s="146">
        <f>SUM(Z10:AE10)</f>
        <v>5</v>
      </c>
      <c r="AJ10" s="8"/>
      <c r="AK10" s="8"/>
      <c r="AL10" s="137"/>
      <c r="AM10" s="147">
        <f t="shared" si="1"/>
        <v>30</v>
      </c>
      <c r="AN10" s="144">
        <f t="shared" si="2"/>
        <v>4</v>
      </c>
      <c r="AO10" s="148">
        <f t="shared" si="3"/>
        <v>34</v>
      </c>
    </row>
    <row r="11" spans="1:42" x14ac:dyDescent="0.3">
      <c r="A11" s="104" t="s">
        <v>37</v>
      </c>
      <c r="B11" s="4" t="s">
        <v>43</v>
      </c>
      <c r="C11" s="143">
        <v>49</v>
      </c>
      <c r="D11" s="144"/>
      <c r="E11" s="145">
        <f>C11+D11</f>
        <v>49</v>
      </c>
      <c r="F11" s="144">
        <v>10</v>
      </c>
      <c r="G11" s="144">
        <v>7</v>
      </c>
      <c r="H11" s="144"/>
      <c r="I11" s="144"/>
      <c r="J11" s="144"/>
      <c r="K11" s="144">
        <v>3</v>
      </c>
      <c r="L11" s="146">
        <f>SUM(F11:K11)</f>
        <v>20</v>
      </c>
      <c r="M11" s="144">
        <v>9</v>
      </c>
      <c r="N11" s="144">
        <v>8</v>
      </c>
      <c r="O11" s="144"/>
      <c r="P11" s="144">
        <v>3</v>
      </c>
      <c r="Q11" s="144"/>
      <c r="R11" s="144">
        <v>2</v>
      </c>
      <c r="S11" s="144"/>
      <c r="T11" s="144">
        <v>3</v>
      </c>
      <c r="U11" s="157" t="s">
        <v>39</v>
      </c>
      <c r="V11" s="146">
        <f>SUM(M11:U11)</f>
        <v>25</v>
      </c>
      <c r="W11" s="144"/>
      <c r="X11" s="144"/>
      <c r="Y11" s="146">
        <f>SUM(F11:K11)+SUM(M11:U11)+SUM(W11:X11)</f>
        <v>45</v>
      </c>
      <c r="Z11" s="144">
        <v>9</v>
      </c>
      <c r="AA11" s="144"/>
      <c r="AB11" s="144"/>
      <c r="AC11" s="144"/>
      <c r="AD11" s="144"/>
      <c r="AE11" s="144"/>
      <c r="AF11" s="144"/>
      <c r="AG11" s="144"/>
      <c r="AH11" s="144"/>
      <c r="AI11" s="146">
        <f>SUM(Z11:AE11)</f>
        <v>9</v>
      </c>
      <c r="AJ11" s="8"/>
      <c r="AK11" s="8"/>
      <c r="AL11" s="137"/>
      <c r="AM11" s="147">
        <f t="shared" si="1"/>
        <v>49</v>
      </c>
      <c r="AN11" s="144">
        <f t="shared" si="2"/>
        <v>5</v>
      </c>
      <c r="AO11" s="148">
        <f t="shared" si="3"/>
        <v>54</v>
      </c>
    </row>
    <row r="12" spans="1:42" ht="20.100000000000001" customHeight="1" x14ac:dyDescent="0.3">
      <c r="A12" s="104"/>
      <c r="B12" s="158" t="s">
        <v>161</v>
      </c>
      <c r="C12" s="143">
        <v>38</v>
      </c>
      <c r="D12" s="144"/>
      <c r="E12" s="145">
        <f>C12+D12</f>
        <v>38</v>
      </c>
      <c r="F12" s="144"/>
      <c r="G12" s="144"/>
      <c r="H12" s="144"/>
      <c r="I12" s="144"/>
      <c r="J12" s="144"/>
      <c r="K12" s="144"/>
      <c r="L12" s="146">
        <f>SUM(F12:K12)</f>
        <v>0</v>
      </c>
      <c r="M12" s="144">
        <v>16</v>
      </c>
      <c r="N12" s="144">
        <v>11</v>
      </c>
      <c r="O12" s="144"/>
      <c r="P12" s="144"/>
      <c r="Q12" s="144"/>
      <c r="R12" s="144"/>
      <c r="S12" s="144"/>
      <c r="T12" s="144"/>
      <c r="U12" s="157"/>
      <c r="V12" s="146">
        <f>SUM(M12:U12)</f>
        <v>27</v>
      </c>
      <c r="W12" s="144"/>
      <c r="X12" s="144"/>
      <c r="Y12" s="146">
        <f>SUM(F12:K12)+SUM(M12:U12)+SUM(W12:X12)</f>
        <v>27</v>
      </c>
      <c r="Z12" s="144"/>
      <c r="AA12" s="144"/>
      <c r="AB12" s="144"/>
      <c r="AC12" s="144">
        <v>11</v>
      </c>
      <c r="AD12" s="144"/>
      <c r="AE12" s="144"/>
      <c r="AF12" s="144"/>
      <c r="AG12" s="144"/>
      <c r="AH12" s="144"/>
      <c r="AI12" s="146">
        <f>SUM(Z12:AE12)</f>
        <v>11</v>
      </c>
      <c r="AJ12" s="8"/>
      <c r="AK12" s="8"/>
      <c r="AL12" s="137"/>
      <c r="AM12" s="147">
        <f t="shared" si="1"/>
        <v>38</v>
      </c>
      <c r="AN12" s="144">
        <f t="shared" si="2"/>
        <v>0</v>
      </c>
      <c r="AO12" s="148">
        <f t="shared" si="3"/>
        <v>38</v>
      </c>
    </row>
    <row r="13" spans="1:42" s="155" customFormat="1" ht="20.100000000000001" customHeight="1" x14ac:dyDescent="0.3">
      <c r="A13" s="105" t="s">
        <v>36</v>
      </c>
      <c r="B13" s="7" t="s">
        <v>124</v>
      </c>
      <c r="C13" s="149">
        <f t="shared" ref="C13:AO13" si="4">SUM(C8:C12)</f>
        <v>376</v>
      </c>
      <c r="D13" s="114">
        <f t="shared" si="4"/>
        <v>0</v>
      </c>
      <c r="E13" s="114">
        <f t="shared" si="4"/>
        <v>376</v>
      </c>
      <c r="F13" s="150">
        <f t="shared" si="4"/>
        <v>64</v>
      </c>
      <c r="G13" s="150">
        <f t="shared" si="4"/>
        <v>40</v>
      </c>
      <c r="H13" s="150">
        <f t="shared" si="4"/>
        <v>0</v>
      </c>
      <c r="I13" s="150">
        <f t="shared" si="4"/>
        <v>0</v>
      </c>
      <c r="J13" s="150">
        <f t="shared" si="4"/>
        <v>0</v>
      </c>
      <c r="K13" s="150">
        <f t="shared" si="4"/>
        <v>16</v>
      </c>
      <c r="L13" s="150">
        <f t="shared" si="4"/>
        <v>120</v>
      </c>
      <c r="M13" s="150">
        <f t="shared" si="4"/>
        <v>89</v>
      </c>
      <c r="N13" s="150">
        <f t="shared" si="4"/>
        <v>57</v>
      </c>
      <c r="O13" s="150">
        <f t="shared" si="4"/>
        <v>0</v>
      </c>
      <c r="P13" s="150">
        <f t="shared" si="4"/>
        <v>17</v>
      </c>
      <c r="Q13" s="150">
        <f t="shared" si="4"/>
        <v>0</v>
      </c>
      <c r="R13" s="150">
        <f t="shared" si="4"/>
        <v>11</v>
      </c>
      <c r="S13" s="150">
        <f t="shared" si="4"/>
        <v>0</v>
      </c>
      <c r="T13" s="150">
        <f t="shared" si="4"/>
        <v>12</v>
      </c>
      <c r="U13" s="150">
        <f t="shared" si="4"/>
        <v>0</v>
      </c>
      <c r="V13" s="150">
        <f t="shared" si="4"/>
        <v>186</v>
      </c>
      <c r="W13" s="150">
        <f t="shared" si="4"/>
        <v>0</v>
      </c>
      <c r="X13" s="150">
        <f t="shared" si="4"/>
        <v>0</v>
      </c>
      <c r="Y13" s="150">
        <f t="shared" si="4"/>
        <v>306</v>
      </c>
      <c r="Z13" s="150">
        <f t="shared" si="4"/>
        <v>82</v>
      </c>
      <c r="AA13" s="150">
        <f t="shared" si="4"/>
        <v>0</v>
      </c>
      <c r="AB13" s="150">
        <f t="shared" si="4"/>
        <v>0</v>
      </c>
      <c r="AC13" s="150">
        <f t="shared" si="4"/>
        <v>11</v>
      </c>
      <c r="AD13" s="150">
        <f t="shared" si="4"/>
        <v>0</v>
      </c>
      <c r="AE13" s="150">
        <f t="shared" si="4"/>
        <v>0</v>
      </c>
      <c r="AF13" s="150">
        <f t="shared" si="4"/>
        <v>0</v>
      </c>
      <c r="AG13" s="150">
        <f t="shared" si="4"/>
        <v>0</v>
      </c>
      <c r="AH13" s="150">
        <f t="shared" si="4"/>
        <v>0</v>
      </c>
      <c r="AI13" s="150">
        <f t="shared" si="4"/>
        <v>93</v>
      </c>
      <c r="AJ13" s="150">
        <f t="shared" si="4"/>
        <v>0</v>
      </c>
      <c r="AK13" s="150">
        <f t="shared" si="4"/>
        <v>0</v>
      </c>
      <c r="AL13" s="151">
        <f t="shared" si="4"/>
        <v>0</v>
      </c>
      <c r="AM13" s="152">
        <f t="shared" si="4"/>
        <v>376</v>
      </c>
      <c r="AN13" s="150">
        <f t="shared" si="4"/>
        <v>23</v>
      </c>
      <c r="AO13" s="153">
        <f t="shared" si="4"/>
        <v>399</v>
      </c>
      <c r="AP13" s="154"/>
    </row>
    <row r="14" spans="1:42" ht="20.100000000000001" customHeight="1" x14ac:dyDescent="0.3">
      <c r="A14" s="104" t="s">
        <v>44</v>
      </c>
      <c r="B14" s="4" t="s">
        <v>45</v>
      </c>
      <c r="C14" s="143">
        <v>6</v>
      </c>
      <c r="D14" s="144"/>
      <c r="E14" s="145">
        <f t="shared" ref="E14:E21" si="5">C14+D14</f>
        <v>6</v>
      </c>
      <c r="F14" s="144"/>
      <c r="G14" s="144"/>
      <c r="H14" s="144"/>
      <c r="I14" s="144"/>
      <c r="J14" s="144"/>
      <c r="K14" s="144"/>
      <c r="L14" s="146">
        <f t="shared" ref="L14:L20" si="6">SUM(F14:K14)</f>
        <v>0</v>
      </c>
      <c r="M14" s="144"/>
      <c r="N14" s="144"/>
      <c r="O14" s="144"/>
      <c r="P14" s="144"/>
      <c r="Q14" s="144"/>
      <c r="R14" s="144"/>
      <c r="S14" s="144"/>
      <c r="T14" s="144"/>
      <c r="U14" s="144"/>
      <c r="V14" s="146">
        <f t="shared" ref="V14:V21" si="7">SUM(M14:U14)</f>
        <v>0</v>
      </c>
      <c r="W14" s="144"/>
      <c r="X14" s="144"/>
      <c r="Y14" s="146">
        <f t="shared" ref="Y14:Y21" si="8">SUM(F14:K14)+SUM(M14:U14)+SUM(W14:X14)</f>
        <v>0</v>
      </c>
      <c r="Z14" s="144"/>
      <c r="AA14" s="144"/>
      <c r="AB14" s="144"/>
      <c r="AC14" s="144"/>
      <c r="AD14" s="144"/>
      <c r="AE14" s="144"/>
      <c r="AF14" s="8"/>
      <c r="AG14" s="8"/>
      <c r="AH14" s="8"/>
      <c r="AI14" s="146">
        <f t="shared" ref="AI14:AI21" si="9">SUM(Z14:AE14)</f>
        <v>0</v>
      </c>
      <c r="AJ14" s="8">
        <v>6</v>
      </c>
      <c r="AK14" s="8">
        <v>9</v>
      </c>
      <c r="AL14" s="137">
        <v>6</v>
      </c>
      <c r="AM14" s="147">
        <f t="shared" si="1"/>
        <v>6</v>
      </c>
      <c r="AN14" s="144">
        <f t="shared" si="2"/>
        <v>15</v>
      </c>
      <c r="AO14" s="148">
        <f t="shared" si="3"/>
        <v>21</v>
      </c>
    </row>
    <row r="15" spans="1:42" x14ac:dyDescent="0.3">
      <c r="A15" s="104"/>
      <c r="B15" s="46" t="s">
        <v>152</v>
      </c>
      <c r="C15" s="143">
        <v>22</v>
      </c>
      <c r="D15" s="144"/>
      <c r="E15" s="145">
        <f t="shared" si="5"/>
        <v>22</v>
      </c>
      <c r="F15" s="144">
        <v>5</v>
      </c>
      <c r="G15" s="144">
        <v>3</v>
      </c>
      <c r="H15" s="144"/>
      <c r="I15" s="144"/>
      <c r="J15" s="144"/>
      <c r="K15" s="144">
        <v>1</v>
      </c>
      <c r="L15" s="146">
        <f t="shared" si="6"/>
        <v>9</v>
      </c>
      <c r="M15" s="144">
        <v>5</v>
      </c>
      <c r="N15" s="144">
        <v>3</v>
      </c>
      <c r="O15" s="144"/>
      <c r="P15" s="144"/>
      <c r="Q15" s="144"/>
      <c r="R15" s="144">
        <v>2</v>
      </c>
      <c r="S15" s="144"/>
      <c r="T15" s="144">
        <v>2</v>
      </c>
      <c r="U15" s="144"/>
      <c r="V15" s="146">
        <f t="shared" si="7"/>
        <v>12</v>
      </c>
      <c r="W15" s="144"/>
      <c r="X15" s="144"/>
      <c r="Y15" s="146">
        <f t="shared" si="8"/>
        <v>21</v>
      </c>
      <c r="Z15" s="144"/>
      <c r="AA15" s="144"/>
      <c r="AB15" s="144"/>
      <c r="AC15" s="144">
        <v>5</v>
      </c>
      <c r="AD15" s="144"/>
      <c r="AE15" s="144"/>
      <c r="AF15" s="144"/>
      <c r="AG15" s="144"/>
      <c r="AH15" s="144"/>
      <c r="AI15" s="146">
        <f t="shared" si="9"/>
        <v>5</v>
      </c>
      <c r="AJ15" s="8"/>
      <c r="AK15" s="8"/>
      <c r="AL15" s="137"/>
      <c r="AM15" s="147">
        <f t="shared" si="1"/>
        <v>22</v>
      </c>
      <c r="AN15" s="144">
        <f t="shared" si="2"/>
        <v>4</v>
      </c>
      <c r="AO15" s="148">
        <f t="shared" si="3"/>
        <v>26</v>
      </c>
    </row>
    <row r="16" spans="1:42" x14ac:dyDescent="0.3">
      <c r="A16" s="104"/>
      <c r="B16" s="46" t="s">
        <v>153</v>
      </c>
      <c r="C16" s="143">
        <v>31</v>
      </c>
      <c r="D16" s="144"/>
      <c r="E16" s="145">
        <f t="shared" si="5"/>
        <v>31</v>
      </c>
      <c r="F16" s="144">
        <v>6</v>
      </c>
      <c r="G16" s="144">
        <v>4</v>
      </c>
      <c r="H16" s="144"/>
      <c r="I16" s="144"/>
      <c r="J16" s="144"/>
      <c r="K16" s="144">
        <v>2</v>
      </c>
      <c r="L16" s="146">
        <f t="shared" si="6"/>
        <v>12</v>
      </c>
      <c r="M16" s="144">
        <v>6</v>
      </c>
      <c r="N16" s="144">
        <v>4</v>
      </c>
      <c r="O16" s="144"/>
      <c r="P16" s="144">
        <v>2</v>
      </c>
      <c r="Q16" s="144"/>
      <c r="R16" s="144">
        <v>1</v>
      </c>
      <c r="S16" s="144"/>
      <c r="T16" s="144">
        <v>2</v>
      </c>
      <c r="U16" s="144"/>
      <c r="V16" s="146">
        <f t="shared" si="7"/>
        <v>15</v>
      </c>
      <c r="W16" s="144"/>
      <c r="X16" s="144"/>
      <c r="Y16" s="146">
        <f t="shared" si="8"/>
        <v>27</v>
      </c>
      <c r="Z16" s="144"/>
      <c r="AA16" s="144"/>
      <c r="AB16" s="144"/>
      <c r="AC16" s="144">
        <v>7</v>
      </c>
      <c r="AD16" s="144"/>
      <c r="AE16" s="144"/>
      <c r="AF16" s="144"/>
      <c r="AG16" s="144"/>
      <c r="AH16" s="144"/>
      <c r="AI16" s="146">
        <f t="shared" si="9"/>
        <v>7</v>
      </c>
      <c r="AJ16" s="8"/>
      <c r="AK16" s="8"/>
      <c r="AL16" s="137"/>
      <c r="AM16" s="147">
        <f t="shared" si="1"/>
        <v>31</v>
      </c>
      <c r="AN16" s="144">
        <f t="shared" si="2"/>
        <v>3</v>
      </c>
      <c r="AO16" s="148">
        <f t="shared" si="3"/>
        <v>34</v>
      </c>
    </row>
    <row r="17" spans="1:42" x14ac:dyDescent="0.3">
      <c r="A17" s="104" t="s">
        <v>44</v>
      </c>
      <c r="B17" s="4" t="s">
        <v>47</v>
      </c>
      <c r="C17" s="143">
        <v>43</v>
      </c>
      <c r="D17" s="144"/>
      <c r="E17" s="145">
        <f t="shared" si="5"/>
        <v>43</v>
      </c>
      <c r="F17" s="144">
        <v>9</v>
      </c>
      <c r="G17" s="144">
        <v>7</v>
      </c>
      <c r="H17" s="144"/>
      <c r="I17" s="144"/>
      <c r="J17" s="144"/>
      <c r="K17" s="144">
        <v>2</v>
      </c>
      <c r="L17" s="146">
        <f t="shared" si="6"/>
        <v>18</v>
      </c>
      <c r="M17" s="144">
        <v>11</v>
      </c>
      <c r="N17" s="144">
        <v>9</v>
      </c>
      <c r="O17" s="144"/>
      <c r="P17" s="144"/>
      <c r="Q17" s="144"/>
      <c r="R17" s="144">
        <v>2</v>
      </c>
      <c r="S17" s="144"/>
      <c r="T17" s="144">
        <v>2</v>
      </c>
      <c r="U17" s="144"/>
      <c r="V17" s="146">
        <f t="shared" si="7"/>
        <v>24</v>
      </c>
      <c r="W17" s="144"/>
      <c r="X17" s="144"/>
      <c r="Y17" s="146">
        <f t="shared" si="8"/>
        <v>42</v>
      </c>
      <c r="Z17" s="144"/>
      <c r="AA17" s="144"/>
      <c r="AB17" s="144"/>
      <c r="AC17" s="144">
        <v>5</v>
      </c>
      <c r="AD17" s="144"/>
      <c r="AE17" s="144"/>
      <c r="AF17" s="144"/>
      <c r="AG17" s="144"/>
      <c r="AH17" s="144"/>
      <c r="AI17" s="146">
        <f t="shared" si="9"/>
        <v>5</v>
      </c>
      <c r="AJ17" s="8"/>
      <c r="AK17" s="8"/>
      <c r="AL17" s="137"/>
      <c r="AM17" s="147">
        <f t="shared" si="1"/>
        <v>43</v>
      </c>
      <c r="AN17" s="144">
        <f t="shared" si="2"/>
        <v>4</v>
      </c>
      <c r="AO17" s="148">
        <f t="shared" si="3"/>
        <v>47</v>
      </c>
    </row>
    <row r="18" spans="1:42" x14ac:dyDescent="0.3">
      <c r="A18" s="104" t="s">
        <v>44</v>
      </c>
      <c r="B18" s="4" t="s">
        <v>48</v>
      </c>
      <c r="C18" s="143">
        <v>55</v>
      </c>
      <c r="D18" s="144"/>
      <c r="E18" s="145">
        <f t="shared" si="5"/>
        <v>55</v>
      </c>
      <c r="F18" s="144">
        <v>12</v>
      </c>
      <c r="G18" s="144">
        <v>7</v>
      </c>
      <c r="H18" s="144"/>
      <c r="I18" s="144">
        <v>7</v>
      </c>
      <c r="J18" s="144"/>
      <c r="K18" s="144">
        <v>2</v>
      </c>
      <c r="L18" s="146">
        <f t="shared" si="6"/>
        <v>28</v>
      </c>
      <c r="M18" s="144">
        <v>11</v>
      </c>
      <c r="N18" s="144">
        <v>8</v>
      </c>
      <c r="O18" s="144"/>
      <c r="P18" s="144">
        <v>2</v>
      </c>
      <c r="Q18" s="144"/>
      <c r="R18" s="144">
        <v>2</v>
      </c>
      <c r="S18" s="144"/>
      <c r="T18" s="144">
        <v>3</v>
      </c>
      <c r="U18" s="144"/>
      <c r="V18" s="146">
        <f t="shared" si="7"/>
        <v>26</v>
      </c>
      <c r="W18" s="144"/>
      <c r="X18" s="144"/>
      <c r="Y18" s="146">
        <f t="shared" si="8"/>
        <v>54</v>
      </c>
      <c r="Z18" s="144"/>
      <c r="AA18" s="144"/>
      <c r="AB18" s="144"/>
      <c r="AC18" s="144">
        <v>6</v>
      </c>
      <c r="AD18" s="144"/>
      <c r="AE18" s="144"/>
      <c r="AF18" s="144"/>
      <c r="AG18" s="144"/>
      <c r="AH18" s="144"/>
      <c r="AI18" s="146">
        <f t="shared" si="9"/>
        <v>6</v>
      </c>
      <c r="AJ18" s="8"/>
      <c r="AK18" s="8"/>
      <c r="AL18" s="137"/>
      <c r="AM18" s="147">
        <f t="shared" si="1"/>
        <v>55</v>
      </c>
      <c r="AN18" s="144">
        <f t="shared" si="2"/>
        <v>5</v>
      </c>
      <c r="AO18" s="148">
        <f t="shared" si="3"/>
        <v>60</v>
      </c>
    </row>
    <row r="19" spans="1:42" x14ac:dyDescent="0.3">
      <c r="A19" s="104" t="s">
        <v>44</v>
      </c>
      <c r="B19" s="4" t="s">
        <v>49</v>
      </c>
      <c r="C19" s="143">
        <v>23</v>
      </c>
      <c r="D19" s="144"/>
      <c r="E19" s="145">
        <f t="shared" si="5"/>
        <v>23</v>
      </c>
      <c r="F19" s="144">
        <v>6</v>
      </c>
      <c r="G19" s="144">
        <v>3</v>
      </c>
      <c r="H19" s="144"/>
      <c r="I19" s="144"/>
      <c r="J19" s="144"/>
      <c r="K19" s="144">
        <v>1</v>
      </c>
      <c r="L19" s="146">
        <f t="shared" si="6"/>
        <v>10</v>
      </c>
      <c r="M19" s="144">
        <v>6</v>
      </c>
      <c r="N19" s="144">
        <v>3</v>
      </c>
      <c r="O19" s="144"/>
      <c r="P19" s="144"/>
      <c r="Q19" s="144"/>
      <c r="R19" s="144">
        <v>2</v>
      </c>
      <c r="S19" s="144"/>
      <c r="T19" s="8">
        <v>2</v>
      </c>
      <c r="U19" s="144"/>
      <c r="V19" s="146">
        <f t="shared" si="7"/>
        <v>13</v>
      </c>
      <c r="W19" s="144"/>
      <c r="X19" s="144"/>
      <c r="Y19" s="146">
        <f t="shared" si="8"/>
        <v>23</v>
      </c>
      <c r="Z19" s="144"/>
      <c r="AA19" s="144"/>
      <c r="AB19" s="144"/>
      <c r="AC19" s="144">
        <v>4</v>
      </c>
      <c r="AD19" s="144"/>
      <c r="AE19" s="144"/>
      <c r="AF19" s="144"/>
      <c r="AG19" s="144"/>
      <c r="AH19" s="144"/>
      <c r="AI19" s="146">
        <f t="shared" si="9"/>
        <v>4</v>
      </c>
      <c r="AJ19" s="8"/>
      <c r="AK19" s="8"/>
      <c r="AL19" s="137"/>
      <c r="AM19" s="147">
        <f t="shared" si="1"/>
        <v>23</v>
      </c>
      <c r="AN19" s="144">
        <f t="shared" si="2"/>
        <v>4</v>
      </c>
      <c r="AO19" s="148">
        <f t="shared" si="3"/>
        <v>27</v>
      </c>
    </row>
    <row r="20" spans="1:42" x14ac:dyDescent="0.3">
      <c r="A20" s="104" t="s">
        <v>44</v>
      </c>
      <c r="B20" s="4" t="s">
        <v>50</v>
      </c>
      <c r="C20" s="143">
        <v>55</v>
      </c>
      <c r="D20" s="144"/>
      <c r="E20" s="145">
        <f t="shared" si="5"/>
        <v>55</v>
      </c>
      <c r="F20" s="144">
        <v>12</v>
      </c>
      <c r="G20" s="144">
        <v>8</v>
      </c>
      <c r="H20" s="144"/>
      <c r="I20" s="144"/>
      <c r="J20" s="144"/>
      <c r="K20" s="144">
        <v>3</v>
      </c>
      <c r="L20" s="146">
        <f t="shared" si="6"/>
        <v>23</v>
      </c>
      <c r="M20" s="144">
        <v>16</v>
      </c>
      <c r="N20" s="144">
        <v>7</v>
      </c>
      <c r="O20" s="144"/>
      <c r="P20" s="144">
        <v>3</v>
      </c>
      <c r="Q20" s="144"/>
      <c r="R20" s="144">
        <v>2</v>
      </c>
      <c r="S20" s="144"/>
      <c r="T20" s="144">
        <v>1</v>
      </c>
      <c r="U20" s="144"/>
      <c r="V20" s="146">
        <f t="shared" si="7"/>
        <v>29</v>
      </c>
      <c r="W20" s="144"/>
      <c r="X20" s="144"/>
      <c r="Y20" s="146">
        <f t="shared" si="8"/>
        <v>52</v>
      </c>
      <c r="Z20" s="144"/>
      <c r="AA20" s="144"/>
      <c r="AB20" s="144"/>
      <c r="AC20" s="144">
        <v>6</v>
      </c>
      <c r="AD20" s="144"/>
      <c r="AE20" s="144"/>
      <c r="AF20" s="144"/>
      <c r="AG20" s="144"/>
      <c r="AH20" s="144"/>
      <c r="AI20" s="146">
        <f t="shared" si="9"/>
        <v>6</v>
      </c>
      <c r="AJ20" s="8"/>
      <c r="AK20" s="8"/>
      <c r="AL20" s="137"/>
      <c r="AM20" s="147">
        <f t="shared" si="1"/>
        <v>55</v>
      </c>
      <c r="AN20" s="144">
        <f t="shared" si="2"/>
        <v>3</v>
      </c>
      <c r="AO20" s="148">
        <f t="shared" si="3"/>
        <v>58</v>
      </c>
    </row>
    <row r="21" spans="1:42" ht="20.100000000000001" customHeight="1" x14ac:dyDescent="0.3">
      <c r="A21" s="104"/>
      <c r="B21" s="158" t="s">
        <v>169</v>
      </c>
      <c r="C21" s="143">
        <v>26</v>
      </c>
      <c r="D21" s="144"/>
      <c r="E21" s="145">
        <f t="shared" si="5"/>
        <v>26</v>
      </c>
      <c r="F21" s="144"/>
      <c r="G21" s="144"/>
      <c r="H21" s="144"/>
      <c r="I21" s="144"/>
      <c r="J21" s="144"/>
      <c r="K21" s="144"/>
      <c r="L21" s="146"/>
      <c r="M21" s="144">
        <v>13</v>
      </c>
      <c r="N21" s="144">
        <v>8</v>
      </c>
      <c r="O21" s="144"/>
      <c r="P21" s="144"/>
      <c r="Q21" s="144"/>
      <c r="R21" s="144"/>
      <c r="S21" s="144"/>
      <c r="T21" s="144"/>
      <c r="U21" s="144"/>
      <c r="V21" s="146">
        <f t="shared" si="7"/>
        <v>21</v>
      </c>
      <c r="W21" s="144"/>
      <c r="X21" s="144"/>
      <c r="Y21" s="146">
        <f t="shared" si="8"/>
        <v>21</v>
      </c>
      <c r="Z21" s="144">
        <v>5</v>
      </c>
      <c r="AA21" s="144"/>
      <c r="AB21" s="144"/>
      <c r="AC21" s="144"/>
      <c r="AD21" s="144"/>
      <c r="AE21" s="144"/>
      <c r="AF21" s="144"/>
      <c r="AG21" s="144"/>
      <c r="AH21" s="144"/>
      <c r="AI21" s="146">
        <f t="shared" si="9"/>
        <v>5</v>
      </c>
      <c r="AJ21" s="8"/>
      <c r="AK21" s="8"/>
      <c r="AL21" s="137"/>
      <c r="AM21" s="147">
        <f t="shared" si="1"/>
        <v>26</v>
      </c>
      <c r="AN21" s="144">
        <f t="shared" si="2"/>
        <v>0</v>
      </c>
      <c r="AO21" s="148">
        <f t="shared" si="3"/>
        <v>26</v>
      </c>
    </row>
    <row r="22" spans="1:42" s="155" customFormat="1" ht="20.100000000000001" customHeight="1" x14ac:dyDescent="0.3">
      <c r="A22" s="105" t="s">
        <v>36</v>
      </c>
      <c r="B22" s="7" t="s">
        <v>125</v>
      </c>
      <c r="C22" s="149">
        <f t="shared" ref="C22:AO22" si="10">SUM(C14:C21)</f>
        <v>261</v>
      </c>
      <c r="D22" s="114">
        <f t="shared" si="10"/>
        <v>0</v>
      </c>
      <c r="E22" s="114">
        <f t="shared" si="10"/>
        <v>261</v>
      </c>
      <c r="F22" s="150">
        <f t="shared" si="10"/>
        <v>50</v>
      </c>
      <c r="G22" s="150">
        <f t="shared" si="10"/>
        <v>32</v>
      </c>
      <c r="H22" s="150">
        <f t="shared" si="10"/>
        <v>0</v>
      </c>
      <c r="I22" s="150">
        <f t="shared" si="10"/>
        <v>7</v>
      </c>
      <c r="J22" s="150">
        <f t="shared" si="10"/>
        <v>0</v>
      </c>
      <c r="K22" s="150">
        <f t="shared" si="10"/>
        <v>11</v>
      </c>
      <c r="L22" s="150">
        <f t="shared" si="10"/>
        <v>100</v>
      </c>
      <c r="M22" s="150">
        <f t="shared" si="10"/>
        <v>68</v>
      </c>
      <c r="N22" s="150">
        <f t="shared" si="10"/>
        <v>42</v>
      </c>
      <c r="O22" s="150">
        <f t="shared" si="10"/>
        <v>0</v>
      </c>
      <c r="P22" s="150">
        <f t="shared" si="10"/>
        <v>7</v>
      </c>
      <c r="Q22" s="150">
        <f t="shared" si="10"/>
        <v>0</v>
      </c>
      <c r="R22" s="150">
        <f t="shared" si="10"/>
        <v>11</v>
      </c>
      <c r="S22" s="150">
        <f t="shared" si="10"/>
        <v>0</v>
      </c>
      <c r="T22" s="150">
        <f t="shared" si="10"/>
        <v>12</v>
      </c>
      <c r="U22" s="150">
        <f t="shared" si="10"/>
        <v>0</v>
      </c>
      <c r="V22" s="150">
        <f t="shared" si="10"/>
        <v>140</v>
      </c>
      <c r="W22" s="150">
        <f t="shared" si="10"/>
        <v>0</v>
      </c>
      <c r="X22" s="150">
        <f t="shared" si="10"/>
        <v>0</v>
      </c>
      <c r="Y22" s="150">
        <f t="shared" si="10"/>
        <v>240</v>
      </c>
      <c r="Z22" s="150">
        <f t="shared" si="10"/>
        <v>5</v>
      </c>
      <c r="AA22" s="150">
        <f t="shared" si="10"/>
        <v>0</v>
      </c>
      <c r="AB22" s="150">
        <f t="shared" si="10"/>
        <v>0</v>
      </c>
      <c r="AC22" s="150">
        <f t="shared" si="10"/>
        <v>33</v>
      </c>
      <c r="AD22" s="150">
        <f t="shared" si="10"/>
        <v>0</v>
      </c>
      <c r="AE22" s="150">
        <f t="shared" si="10"/>
        <v>0</v>
      </c>
      <c r="AF22" s="150">
        <f t="shared" si="10"/>
        <v>0</v>
      </c>
      <c r="AG22" s="150">
        <f t="shared" si="10"/>
        <v>0</v>
      </c>
      <c r="AH22" s="150">
        <f t="shared" si="10"/>
        <v>0</v>
      </c>
      <c r="AI22" s="150">
        <f t="shared" si="10"/>
        <v>38</v>
      </c>
      <c r="AJ22" s="150">
        <f t="shared" si="10"/>
        <v>6</v>
      </c>
      <c r="AK22" s="150">
        <f t="shared" si="10"/>
        <v>9</v>
      </c>
      <c r="AL22" s="151">
        <f t="shared" si="10"/>
        <v>6</v>
      </c>
      <c r="AM22" s="152">
        <f t="shared" si="10"/>
        <v>261</v>
      </c>
      <c r="AN22" s="150">
        <f t="shared" si="10"/>
        <v>38</v>
      </c>
      <c r="AO22" s="153">
        <f t="shared" si="10"/>
        <v>299</v>
      </c>
      <c r="AP22" s="154"/>
    </row>
    <row r="23" spans="1:42" ht="20.100000000000001" customHeight="1" x14ac:dyDescent="0.3">
      <c r="A23" s="104" t="s">
        <v>51</v>
      </c>
      <c r="B23" s="4" t="s">
        <v>52</v>
      </c>
      <c r="C23" s="143">
        <v>35</v>
      </c>
      <c r="D23" s="144"/>
      <c r="E23" s="145">
        <f>C23+D23</f>
        <v>35</v>
      </c>
      <c r="F23" s="144">
        <v>7</v>
      </c>
      <c r="G23" s="144">
        <v>4</v>
      </c>
      <c r="H23" s="144"/>
      <c r="I23" s="144"/>
      <c r="J23" s="144"/>
      <c r="K23" s="144">
        <v>1</v>
      </c>
      <c r="L23" s="146">
        <f>SUM(F23:K23)</f>
        <v>12</v>
      </c>
      <c r="M23" s="144">
        <v>8</v>
      </c>
      <c r="N23" s="144">
        <v>6</v>
      </c>
      <c r="O23" s="144"/>
      <c r="P23" s="144">
        <v>1</v>
      </c>
      <c r="Q23" s="144"/>
      <c r="R23" s="144">
        <v>2</v>
      </c>
      <c r="S23" s="144"/>
      <c r="T23" s="144">
        <v>2</v>
      </c>
      <c r="U23" s="144"/>
      <c r="V23" s="146">
        <f>SUM(M23:U23)</f>
        <v>19</v>
      </c>
      <c r="W23" s="144"/>
      <c r="X23" s="144"/>
      <c r="Y23" s="146">
        <f>SUM(F23:K23)+SUM(M23:U23)+SUM(W23:X23)</f>
        <v>31</v>
      </c>
      <c r="Z23" s="144">
        <v>8</v>
      </c>
      <c r="AA23" s="144"/>
      <c r="AB23" s="144"/>
      <c r="AC23" s="144"/>
      <c r="AD23" s="144"/>
      <c r="AE23" s="144"/>
      <c r="AF23" s="144"/>
      <c r="AG23" s="144"/>
      <c r="AH23" s="144"/>
      <c r="AI23" s="146">
        <f>SUM(Z23:AE23)</f>
        <v>8</v>
      </c>
      <c r="AJ23" s="8"/>
      <c r="AK23" s="8"/>
      <c r="AL23" s="137"/>
      <c r="AM23" s="147">
        <f t="shared" si="1"/>
        <v>35</v>
      </c>
      <c r="AN23" s="144">
        <f t="shared" si="2"/>
        <v>4</v>
      </c>
      <c r="AO23" s="148">
        <f t="shared" si="3"/>
        <v>39</v>
      </c>
    </row>
    <row r="24" spans="1:42" ht="20.100000000000001" customHeight="1" x14ac:dyDescent="0.3">
      <c r="A24" s="104" t="s">
        <v>51</v>
      </c>
      <c r="B24" s="4" t="s">
        <v>53</v>
      </c>
      <c r="C24" s="143">
        <v>41</v>
      </c>
      <c r="D24" s="144"/>
      <c r="E24" s="145">
        <f>C24+D24</f>
        <v>41</v>
      </c>
      <c r="F24" s="144">
        <v>8</v>
      </c>
      <c r="G24" s="144">
        <v>5</v>
      </c>
      <c r="H24" s="144"/>
      <c r="I24" s="144"/>
      <c r="J24" s="144"/>
      <c r="K24" s="144">
        <v>2</v>
      </c>
      <c r="L24" s="146">
        <f>SUM(F24:K24)</f>
        <v>15</v>
      </c>
      <c r="M24" s="144">
        <v>10</v>
      </c>
      <c r="N24" s="144">
        <v>6</v>
      </c>
      <c r="O24" s="144"/>
      <c r="P24" s="144">
        <v>2</v>
      </c>
      <c r="Q24" s="144"/>
      <c r="R24" s="144">
        <v>2</v>
      </c>
      <c r="S24" s="144"/>
      <c r="T24" s="144">
        <v>2</v>
      </c>
      <c r="U24" s="144"/>
      <c r="V24" s="146">
        <f>SUM(M24:U24)</f>
        <v>22</v>
      </c>
      <c r="W24" s="144"/>
      <c r="X24" s="144"/>
      <c r="Y24" s="146">
        <f>SUM(F24:K24)+SUM(M24:U24)+SUM(W24:X24)</f>
        <v>37</v>
      </c>
      <c r="Z24" s="144">
        <v>8</v>
      </c>
      <c r="AA24" s="144"/>
      <c r="AB24" s="144"/>
      <c r="AC24" s="144"/>
      <c r="AD24" s="144"/>
      <c r="AE24" s="144"/>
      <c r="AF24" s="144"/>
      <c r="AG24" s="144"/>
      <c r="AH24" s="144"/>
      <c r="AI24" s="146">
        <f>SUM(Z24:AE24)</f>
        <v>8</v>
      </c>
      <c r="AJ24" s="8"/>
      <c r="AK24" s="8"/>
      <c r="AL24" s="137"/>
      <c r="AM24" s="147">
        <f t="shared" si="1"/>
        <v>41</v>
      </c>
      <c r="AN24" s="144">
        <f t="shared" si="2"/>
        <v>4</v>
      </c>
      <c r="AO24" s="148">
        <f t="shared" si="3"/>
        <v>45</v>
      </c>
    </row>
    <row r="25" spans="1:42" ht="20.100000000000001" customHeight="1" x14ac:dyDescent="0.3">
      <c r="A25" s="104" t="s">
        <v>51</v>
      </c>
      <c r="B25" s="4" t="s">
        <v>54</v>
      </c>
      <c r="C25" s="143">
        <v>47</v>
      </c>
      <c r="D25" s="144"/>
      <c r="E25" s="145">
        <f>C25+D25</f>
        <v>47</v>
      </c>
      <c r="F25" s="144">
        <v>10</v>
      </c>
      <c r="G25" s="144">
        <v>5</v>
      </c>
      <c r="H25" s="144"/>
      <c r="I25" s="144"/>
      <c r="J25" s="144"/>
      <c r="K25" s="144">
        <v>2</v>
      </c>
      <c r="L25" s="146">
        <f>SUM(F25:K25)</f>
        <v>17</v>
      </c>
      <c r="M25" s="144">
        <v>11</v>
      </c>
      <c r="N25" s="144">
        <v>6</v>
      </c>
      <c r="O25" s="144"/>
      <c r="P25" s="144">
        <v>2</v>
      </c>
      <c r="Q25" s="144"/>
      <c r="R25" s="144">
        <v>2</v>
      </c>
      <c r="S25" s="144"/>
      <c r="T25" s="144">
        <v>2</v>
      </c>
      <c r="U25" s="144"/>
      <c r="V25" s="146">
        <f>SUM(M25:U25)</f>
        <v>23</v>
      </c>
      <c r="W25" s="144"/>
      <c r="X25" s="144"/>
      <c r="Y25" s="146">
        <f>SUM(F25:K25)+SUM(M25:U25)+SUM(W25:X25)</f>
        <v>40</v>
      </c>
      <c r="Z25" s="144">
        <v>11</v>
      </c>
      <c r="AA25" s="144"/>
      <c r="AB25" s="144"/>
      <c r="AC25" s="144"/>
      <c r="AD25" s="144"/>
      <c r="AE25" s="144"/>
      <c r="AF25" s="144"/>
      <c r="AG25" s="144"/>
      <c r="AH25" s="144"/>
      <c r="AI25" s="146">
        <f>SUM(Z25:AE25)</f>
        <v>11</v>
      </c>
      <c r="AJ25" s="8"/>
      <c r="AK25" s="8"/>
      <c r="AL25" s="137"/>
      <c r="AM25" s="147">
        <f t="shared" si="1"/>
        <v>47</v>
      </c>
      <c r="AN25" s="144">
        <f t="shared" si="2"/>
        <v>4</v>
      </c>
      <c r="AO25" s="148">
        <f t="shared" si="3"/>
        <v>51</v>
      </c>
    </row>
    <row r="26" spans="1:42" s="155" customFormat="1" ht="20.100000000000001" customHeight="1" x14ac:dyDescent="0.3">
      <c r="A26" s="105" t="s">
        <v>36</v>
      </c>
      <c r="B26" s="7" t="s">
        <v>126</v>
      </c>
      <c r="C26" s="149">
        <f t="shared" ref="C26:AO26" si="11">SUM(C23:C25)</f>
        <v>123</v>
      </c>
      <c r="D26" s="114">
        <f t="shared" si="11"/>
        <v>0</v>
      </c>
      <c r="E26" s="114">
        <f t="shared" si="11"/>
        <v>123</v>
      </c>
      <c r="F26" s="150">
        <f t="shared" si="11"/>
        <v>25</v>
      </c>
      <c r="G26" s="150">
        <f t="shared" si="11"/>
        <v>14</v>
      </c>
      <c r="H26" s="150">
        <f t="shared" si="11"/>
        <v>0</v>
      </c>
      <c r="I26" s="150">
        <f t="shared" si="11"/>
        <v>0</v>
      </c>
      <c r="J26" s="150">
        <f t="shared" si="11"/>
        <v>0</v>
      </c>
      <c r="K26" s="150">
        <f t="shared" si="11"/>
        <v>5</v>
      </c>
      <c r="L26" s="150">
        <f t="shared" si="11"/>
        <v>44</v>
      </c>
      <c r="M26" s="150">
        <f t="shared" si="11"/>
        <v>29</v>
      </c>
      <c r="N26" s="150">
        <f t="shared" si="11"/>
        <v>18</v>
      </c>
      <c r="O26" s="150">
        <f t="shared" si="11"/>
        <v>0</v>
      </c>
      <c r="P26" s="150">
        <f t="shared" si="11"/>
        <v>5</v>
      </c>
      <c r="Q26" s="150">
        <f t="shared" si="11"/>
        <v>0</v>
      </c>
      <c r="R26" s="150">
        <f t="shared" si="11"/>
        <v>6</v>
      </c>
      <c r="S26" s="150">
        <f t="shared" si="11"/>
        <v>0</v>
      </c>
      <c r="T26" s="150">
        <f t="shared" si="11"/>
        <v>6</v>
      </c>
      <c r="U26" s="150">
        <f t="shared" si="11"/>
        <v>0</v>
      </c>
      <c r="V26" s="150">
        <f t="shared" si="11"/>
        <v>64</v>
      </c>
      <c r="W26" s="150">
        <f t="shared" si="11"/>
        <v>0</v>
      </c>
      <c r="X26" s="150">
        <f t="shared" si="11"/>
        <v>0</v>
      </c>
      <c r="Y26" s="150">
        <f t="shared" si="11"/>
        <v>108</v>
      </c>
      <c r="Z26" s="150">
        <f t="shared" si="11"/>
        <v>27</v>
      </c>
      <c r="AA26" s="150">
        <f t="shared" si="11"/>
        <v>0</v>
      </c>
      <c r="AB26" s="150">
        <f t="shared" si="11"/>
        <v>0</v>
      </c>
      <c r="AC26" s="150">
        <f t="shared" si="11"/>
        <v>0</v>
      </c>
      <c r="AD26" s="150">
        <f t="shared" si="11"/>
        <v>0</v>
      </c>
      <c r="AE26" s="150">
        <f t="shared" si="11"/>
        <v>0</v>
      </c>
      <c r="AF26" s="150">
        <f t="shared" si="11"/>
        <v>0</v>
      </c>
      <c r="AG26" s="150">
        <f t="shared" si="11"/>
        <v>0</v>
      </c>
      <c r="AH26" s="150">
        <f t="shared" si="11"/>
        <v>0</v>
      </c>
      <c r="AI26" s="150">
        <f t="shared" si="11"/>
        <v>27</v>
      </c>
      <c r="AJ26" s="150">
        <f t="shared" si="11"/>
        <v>0</v>
      </c>
      <c r="AK26" s="150">
        <f t="shared" si="11"/>
        <v>0</v>
      </c>
      <c r="AL26" s="151">
        <f t="shared" si="11"/>
        <v>0</v>
      </c>
      <c r="AM26" s="152">
        <f t="shared" si="11"/>
        <v>123</v>
      </c>
      <c r="AN26" s="150">
        <f t="shared" si="11"/>
        <v>12</v>
      </c>
      <c r="AO26" s="153">
        <f t="shared" si="11"/>
        <v>135</v>
      </c>
      <c r="AP26" s="154"/>
    </row>
    <row r="27" spans="1:42" ht="20.100000000000001" customHeight="1" x14ac:dyDescent="0.3">
      <c r="A27" s="104" t="s">
        <v>127</v>
      </c>
      <c r="B27" s="4" t="s">
        <v>56</v>
      </c>
      <c r="C27" s="143">
        <v>24</v>
      </c>
      <c r="D27" s="144"/>
      <c r="E27" s="145">
        <f t="shared" ref="E27:E39" si="12">C27+D27</f>
        <v>24</v>
      </c>
      <c r="F27" s="144">
        <v>5</v>
      </c>
      <c r="G27" s="144">
        <v>3</v>
      </c>
      <c r="H27" s="144"/>
      <c r="I27" s="144"/>
      <c r="J27" s="144"/>
      <c r="K27" s="144">
        <v>2</v>
      </c>
      <c r="L27" s="146">
        <f t="shared" ref="L27:L39" si="13">SUM(F27:K27)</f>
        <v>10</v>
      </c>
      <c r="M27" s="144">
        <v>4</v>
      </c>
      <c r="N27" s="144">
        <v>4</v>
      </c>
      <c r="O27" s="144"/>
      <c r="P27" s="144"/>
      <c r="Q27" s="144"/>
      <c r="R27" s="144">
        <v>2</v>
      </c>
      <c r="S27" s="144"/>
      <c r="T27" s="144"/>
      <c r="U27" s="157" t="s">
        <v>39</v>
      </c>
      <c r="V27" s="146">
        <f t="shared" ref="V27:V39" si="14">SUM(M27:U27)</f>
        <v>10</v>
      </c>
      <c r="W27" s="144"/>
      <c r="X27" s="144"/>
      <c r="Y27" s="146">
        <f t="shared" ref="Y27:Y39" si="15">SUM(F27:K27)+SUM(M27:U27)+SUM(W27:X27)</f>
        <v>20</v>
      </c>
      <c r="Z27" s="144">
        <v>6</v>
      </c>
      <c r="AA27" s="144"/>
      <c r="AB27" s="144"/>
      <c r="AC27" s="144"/>
      <c r="AD27" s="144"/>
      <c r="AE27" s="144"/>
      <c r="AF27" s="144"/>
      <c r="AG27" s="144"/>
      <c r="AH27" s="144"/>
      <c r="AI27" s="146">
        <f t="shared" ref="AI27:AI39" si="16">SUM(Z27:AE27)</f>
        <v>6</v>
      </c>
      <c r="AJ27" s="8"/>
      <c r="AK27" s="8"/>
      <c r="AL27" s="137"/>
      <c r="AM27" s="147">
        <f t="shared" si="1"/>
        <v>24</v>
      </c>
      <c r="AN27" s="144">
        <f t="shared" si="2"/>
        <v>2</v>
      </c>
      <c r="AO27" s="148">
        <f t="shared" si="3"/>
        <v>26</v>
      </c>
    </row>
    <row r="28" spans="1:42" ht="20.100000000000001" customHeight="1" x14ac:dyDescent="0.3">
      <c r="A28" s="104" t="s">
        <v>55</v>
      </c>
      <c r="B28" s="4" t="s">
        <v>57</v>
      </c>
      <c r="C28" s="143">
        <v>112</v>
      </c>
      <c r="D28" s="144"/>
      <c r="E28" s="145">
        <f t="shared" si="12"/>
        <v>112</v>
      </c>
      <c r="F28" s="144">
        <v>15</v>
      </c>
      <c r="G28" s="144">
        <v>9</v>
      </c>
      <c r="H28" s="144"/>
      <c r="I28" s="144"/>
      <c r="J28" s="144"/>
      <c r="K28" s="144">
        <v>3</v>
      </c>
      <c r="L28" s="146">
        <f t="shared" si="13"/>
        <v>27</v>
      </c>
      <c r="M28" s="144">
        <v>32</v>
      </c>
      <c r="N28" s="8">
        <v>20</v>
      </c>
      <c r="O28" s="144"/>
      <c r="P28" s="144">
        <v>5</v>
      </c>
      <c r="Q28" s="144"/>
      <c r="R28" s="144">
        <v>4</v>
      </c>
      <c r="S28" s="144"/>
      <c r="T28" s="144">
        <v>3</v>
      </c>
      <c r="U28" s="157" t="s">
        <v>39</v>
      </c>
      <c r="V28" s="146">
        <f t="shared" si="14"/>
        <v>64</v>
      </c>
      <c r="W28" s="144"/>
      <c r="X28" s="144"/>
      <c r="Y28" s="146">
        <f t="shared" si="15"/>
        <v>91</v>
      </c>
      <c r="Z28" s="144">
        <v>28</v>
      </c>
      <c r="AA28" s="144"/>
      <c r="AB28" s="144"/>
      <c r="AC28" s="144"/>
      <c r="AD28" s="144"/>
      <c r="AE28" s="144"/>
      <c r="AF28" s="144"/>
      <c r="AG28" s="144"/>
      <c r="AH28" s="144"/>
      <c r="AI28" s="146">
        <f t="shared" si="16"/>
        <v>28</v>
      </c>
      <c r="AJ28" s="8"/>
      <c r="AK28" s="8"/>
      <c r="AL28" s="137"/>
      <c r="AM28" s="147">
        <f t="shared" si="1"/>
        <v>112</v>
      </c>
      <c r="AN28" s="144">
        <f t="shared" si="2"/>
        <v>7</v>
      </c>
      <c r="AO28" s="148">
        <f t="shared" si="3"/>
        <v>119</v>
      </c>
    </row>
    <row r="29" spans="1:42" ht="20.100000000000001" customHeight="1" x14ac:dyDescent="0.3">
      <c r="A29" s="104" t="s">
        <v>55</v>
      </c>
      <c r="B29" s="6" t="s">
        <v>141</v>
      </c>
      <c r="C29" s="143">
        <v>100</v>
      </c>
      <c r="D29" s="144"/>
      <c r="E29" s="145">
        <f t="shared" si="12"/>
        <v>100</v>
      </c>
      <c r="F29" s="144">
        <v>16</v>
      </c>
      <c r="G29" s="144">
        <v>10</v>
      </c>
      <c r="H29" s="144"/>
      <c r="I29" s="144"/>
      <c r="J29" s="144"/>
      <c r="K29" s="144">
        <v>3</v>
      </c>
      <c r="L29" s="146">
        <f t="shared" si="13"/>
        <v>29</v>
      </c>
      <c r="M29" s="144">
        <v>25</v>
      </c>
      <c r="N29" s="144">
        <v>17</v>
      </c>
      <c r="O29" s="144"/>
      <c r="P29" s="144">
        <v>4</v>
      </c>
      <c r="Q29" s="144"/>
      <c r="R29" s="144">
        <v>5</v>
      </c>
      <c r="S29" s="144"/>
      <c r="T29" s="144">
        <v>2</v>
      </c>
      <c r="U29" s="157" t="s">
        <v>39</v>
      </c>
      <c r="V29" s="146">
        <f t="shared" si="14"/>
        <v>53</v>
      </c>
      <c r="W29" s="144"/>
      <c r="X29" s="144"/>
      <c r="Y29" s="146">
        <f t="shared" si="15"/>
        <v>82</v>
      </c>
      <c r="Z29" s="144">
        <v>25</v>
      </c>
      <c r="AA29" s="144"/>
      <c r="AB29" s="144"/>
      <c r="AC29" s="144"/>
      <c r="AD29" s="144"/>
      <c r="AE29" s="144"/>
      <c r="AF29" s="144"/>
      <c r="AG29" s="144"/>
      <c r="AH29" s="144"/>
      <c r="AI29" s="146">
        <f t="shared" si="16"/>
        <v>25</v>
      </c>
      <c r="AJ29" s="8"/>
      <c r="AK29" s="8"/>
      <c r="AL29" s="137"/>
      <c r="AM29" s="147">
        <f t="shared" si="1"/>
        <v>100</v>
      </c>
      <c r="AN29" s="144">
        <f t="shared" si="2"/>
        <v>7</v>
      </c>
      <c r="AO29" s="148">
        <f t="shared" si="3"/>
        <v>107</v>
      </c>
    </row>
    <row r="30" spans="1:42" ht="20.100000000000001" customHeight="1" x14ac:dyDescent="0.3">
      <c r="A30" s="104" t="s">
        <v>55</v>
      </c>
      <c r="B30" s="4" t="s">
        <v>58</v>
      </c>
      <c r="C30" s="143">
        <v>40</v>
      </c>
      <c r="D30" s="144"/>
      <c r="E30" s="145">
        <f t="shared" si="12"/>
        <v>40</v>
      </c>
      <c r="F30" s="144">
        <v>8</v>
      </c>
      <c r="G30" s="144">
        <v>4</v>
      </c>
      <c r="H30" s="144"/>
      <c r="I30" s="144"/>
      <c r="J30" s="144"/>
      <c r="K30" s="144">
        <v>2</v>
      </c>
      <c r="L30" s="146">
        <f t="shared" si="13"/>
        <v>14</v>
      </c>
      <c r="M30" s="144">
        <v>12</v>
      </c>
      <c r="N30" s="144">
        <v>8</v>
      </c>
      <c r="O30" s="144"/>
      <c r="P30" s="144"/>
      <c r="Q30" s="144"/>
      <c r="R30" s="144">
        <v>2</v>
      </c>
      <c r="S30" s="144"/>
      <c r="T30" s="144"/>
      <c r="U30" s="157" t="s">
        <v>39</v>
      </c>
      <c r="V30" s="146">
        <f t="shared" si="14"/>
        <v>22</v>
      </c>
      <c r="W30" s="144"/>
      <c r="X30" s="144"/>
      <c r="Y30" s="146">
        <f t="shared" si="15"/>
        <v>36</v>
      </c>
      <c r="Z30" s="144">
        <v>6</v>
      </c>
      <c r="AA30" s="144"/>
      <c r="AB30" s="144"/>
      <c r="AC30" s="144"/>
      <c r="AD30" s="144"/>
      <c r="AE30" s="144"/>
      <c r="AF30" s="144"/>
      <c r="AG30" s="144"/>
      <c r="AH30" s="144"/>
      <c r="AI30" s="146">
        <f t="shared" si="16"/>
        <v>6</v>
      </c>
      <c r="AJ30" s="8"/>
      <c r="AK30" s="8"/>
      <c r="AL30" s="137"/>
      <c r="AM30" s="147">
        <f t="shared" si="1"/>
        <v>40</v>
      </c>
      <c r="AN30" s="144">
        <f t="shared" si="2"/>
        <v>2</v>
      </c>
      <c r="AO30" s="148">
        <f t="shared" si="3"/>
        <v>42</v>
      </c>
    </row>
    <row r="31" spans="1:42" x14ac:dyDescent="0.3">
      <c r="A31" s="104"/>
      <c r="B31" s="158" t="s">
        <v>154</v>
      </c>
      <c r="C31" s="143">
        <v>29</v>
      </c>
      <c r="D31" s="144"/>
      <c r="E31" s="145">
        <f t="shared" si="12"/>
        <v>29</v>
      </c>
      <c r="F31" s="144">
        <v>5</v>
      </c>
      <c r="G31" s="144">
        <v>3</v>
      </c>
      <c r="H31" s="144"/>
      <c r="I31" s="144"/>
      <c r="J31" s="144"/>
      <c r="K31" s="144">
        <v>1</v>
      </c>
      <c r="L31" s="146">
        <f t="shared" si="13"/>
        <v>9</v>
      </c>
      <c r="M31" s="144">
        <v>7</v>
      </c>
      <c r="N31" s="144">
        <v>5</v>
      </c>
      <c r="O31" s="144"/>
      <c r="P31" s="144">
        <v>2</v>
      </c>
      <c r="Q31" s="144"/>
      <c r="R31" s="144">
        <v>2</v>
      </c>
      <c r="S31" s="144"/>
      <c r="T31" s="144"/>
      <c r="U31" s="157" t="s">
        <v>39</v>
      </c>
      <c r="V31" s="146">
        <f t="shared" si="14"/>
        <v>16</v>
      </c>
      <c r="W31" s="144"/>
      <c r="X31" s="144"/>
      <c r="Y31" s="146">
        <f t="shared" si="15"/>
        <v>25</v>
      </c>
      <c r="Z31" s="144">
        <v>6</v>
      </c>
      <c r="AA31" s="144"/>
      <c r="AB31" s="144"/>
      <c r="AC31" s="144"/>
      <c r="AD31" s="144"/>
      <c r="AE31" s="144"/>
      <c r="AF31" s="144"/>
      <c r="AG31" s="144"/>
      <c r="AH31" s="144"/>
      <c r="AI31" s="146">
        <f t="shared" si="16"/>
        <v>6</v>
      </c>
      <c r="AJ31" s="8"/>
      <c r="AK31" s="8"/>
      <c r="AL31" s="137"/>
      <c r="AM31" s="147">
        <f t="shared" si="1"/>
        <v>29</v>
      </c>
      <c r="AN31" s="144">
        <f t="shared" si="2"/>
        <v>2</v>
      </c>
      <c r="AO31" s="148">
        <f t="shared" si="3"/>
        <v>31</v>
      </c>
    </row>
    <row r="32" spans="1:42" x14ac:dyDescent="0.3">
      <c r="A32" s="104"/>
      <c r="B32" s="46" t="s">
        <v>155</v>
      </c>
      <c r="C32" s="143">
        <v>34</v>
      </c>
      <c r="D32" s="144"/>
      <c r="E32" s="145">
        <f t="shared" si="12"/>
        <v>34</v>
      </c>
      <c r="F32" s="144">
        <v>6</v>
      </c>
      <c r="G32" s="144">
        <v>3</v>
      </c>
      <c r="H32" s="144"/>
      <c r="I32" s="144"/>
      <c r="J32" s="144"/>
      <c r="K32" s="144">
        <v>2</v>
      </c>
      <c r="L32" s="146">
        <f t="shared" si="13"/>
        <v>11</v>
      </c>
      <c r="M32" s="144">
        <v>8</v>
      </c>
      <c r="N32" s="144">
        <v>6</v>
      </c>
      <c r="O32" s="144"/>
      <c r="P32" s="144">
        <v>2</v>
      </c>
      <c r="Q32" s="144"/>
      <c r="R32" s="144">
        <v>2</v>
      </c>
      <c r="S32" s="144"/>
      <c r="T32" s="144"/>
      <c r="U32" s="157" t="s">
        <v>39</v>
      </c>
      <c r="V32" s="146">
        <f t="shared" si="14"/>
        <v>18</v>
      </c>
      <c r="W32" s="144"/>
      <c r="X32" s="144"/>
      <c r="Y32" s="146">
        <f t="shared" si="15"/>
        <v>29</v>
      </c>
      <c r="Z32" s="144">
        <v>7</v>
      </c>
      <c r="AA32" s="144"/>
      <c r="AB32" s="144"/>
      <c r="AC32" s="144"/>
      <c r="AD32" s="144"/>
      <c r="AE32" s="144"/>
      <c r="AF32" s="144"/>
      <c r="AG32" s="144"/>
      <c r="AH32" s="144"/>
      <c r="AI32" s="146">
        <f t="shared" si="16"/>
        <v>7</v>
      </c>
      <c r="AJ32" s="8"/>
      <c r="AK32" s="8"/>
      <c r="AL32" s="137"/>
      <c r="AM32" s="147">
        <f t="shared" si="1"/>
        <v>34</v>
      </c>
      <c r="AN32" s="144">
        <f t="shared" si="2"/>
        <v>2</v>
      </c>
      <c r="AO32" s="148">
        <f t="shared" si="3"/>
        <v>36</v>
      </c>
    </row>
    <row r="33" spans="1:42" ht="20.100000000000001" customHeight="1" x14ac:dyDescent="0.3">
      <c r="A33" s="104" t="s">
        <v>55</v>
      </c>
      <c r="B33" s="4" t="s">
        <v>60</v>
      </c>
      <c r="C33" s="143">
        <v>68</v>
      </c>
      <c r="D33" s="144"/>
      <c r="E33" s="145">
        <f t="shared" si="12"/>
        <v>68</v>
      </c>
      <c r="F33" s="144">
        <v>10</v>
      </c>
      <c r="G33" s="144">
        <v>7</v>
      </c>
      <c r="H33" s="144"/>
      <c r="I33" s="144"/>
      <c r="J33" s="144"/>
      <c r="K33" s="144">
        <v>2</v>
      </c>
      <c r="L33" s="146">
        <f t="shared" si="13"/>
        <v>19</v>
      </c>
      <c r="M33" s="144">
        <v>18</v>
      </c>
      <c r="N33" s="144">
        <v>12</v>
      </c>
      <c r="O33" s="144"/>
      <c r="P33" s="144">
        <v>2</v>
      </c>
      <c r="Q33" s="144"/>
      <c r="R33" s="144">
        <v>4</v>
      </c>
      <c r="S33" s="144"/>
      <c r="T33" s="144"/>
      <c r="U33" s="157" t="s">
        <v>39</v>
      </c>
      <c r="V33" s="146">
        <f t="shared" si="14"/>
        <v>36</v>
      </c>
      <c r="W33" s="144"/>
      <c r="X33" s="144"/>
      <c r="Y33" s="146">
        <f t="shared" si="15"/>
        <v>55</v>
      </c>
      <c r="Z33" s="144">
        <v>17</v>
      </c>
      <c r="AA33" s="144"/>
      <c r="AB33" s="144"/>
      <c r="AC33" s="144"/>
      <c r="AD33" s="144"/>
      <c r="AE33" s="144"/>
      <c r="AF33" s="144"/>
      <c r="AG33" s="144"/>
      <c r="AH33" s="144"/>
      <c r="AI33" s="146">
        <f t="shared" si="16"/>
        <v>17</v>
      </c>
      <c r="AJ33" s="8"/>
      <c r="AK33" s="8"/>
      <c r="AL33" s="137"/>
      <c r="AM33" s="147">
        <f t="shared" si="1"/>
        <v>68</v>
      </c>
      <c r="AN33" s="144">
        <f t="shared" si="2"/>
        <v>4</v>
      </c>
      <c r="AO33" s="148">
        <f t="shared" si="3"/>
        <v>72</v>
      </c>
    </row>
    <row r="34" spans="1:42" ht="20.100000000000001" customHeight="1" x14ac:dyDescent="0.3">
      <c r="A34" s="104" t="s">
        <v>55</v>
      </c>
      <c r="B34" s="4" t="s">
        <v>61</v>
      </c>
      <c r="C34" s="143">
        <v>36</v>
      </c>
      <c r="D34" s="144"/>
      <c r="E34" s="145">
        <f t="shared" si="12"/>
        <v>36</v>
      </c>
      <c r="F34" s="144"/>
      <c r="G34" s="144"/>
      <c r="H34" s="144"/>
      <c r="I34" s="144"/>
      <c r="J34" s="144"/>
      <c r="K34" s="144"/>
      <c r="L34" s="146">
        <f t="shared" si="13"/>
        <v>0</v>
      </c>
      <c r="M34" s="144"/>
      <c r="N34" s="144"/>
      <c r="O34" s="144"/>
      <c r="P34" s="144"/>
      <c r="Q34" s="144"/>
      <c r="R34" s="144"/>
      <c r="S34" s="144"/>
      <c r="T34" s="144"/>
      <c r="U34" s="144"/>
      <c r="V34" s="146">
        <f t="shared" si="14"/>
        <v>0</v>
      </c>
      <c r="W34" s="144">
        <v>36</v>
      </c>
      <c r="X34" s="144"/>
      <c r="Y34" s="146">
        <f t="shared" si="15"/>
        <v>36</v>
      </c>
      <c r="Z34" s="144"/>
      <c r="AA34" s="144"/>
      <c r="AB34" s="144"/>
      <c r="AC34" s="144"/>
      <c r="AD34" s="144"/>
      <c r="AE34" s="144"/>
      <c r="AF34" s="144"/>
      <c r="AG34" s="144"/>
      <c r="AH34" s="144"/>
      <c r="AI34" s="146">
        <f t="shared" si="16"/>
        <v>0</v>
      </c>
      <c r="AJ34" s="8"/>
      <c r="AK34" s="8"/>
      <c r="AL34" s="137"/>
      <c r="AM34" s="147">
        <f t="shared" si="1"/>
        <v>36</v>
      </c>
      <c r="AN34" s="144">
        <f t="shared" si="2"/>
        <v>0</v>
      </c>
      <c r="AO34" s="148">
        <f t="shared" si="3"/>
        <v>36</v>
      </c>
    </row>
    <row r="35" spans="1:42" ht="20.100000000000001" customHeight="1" x14ac:dyDescent="0.3">
      <c r="A35" s="104" t="s">
        <v>55</v>
      </c>
      <c r="B35" s="4" t="s">
        <v>62</v>
      </c>
      <c r="C35" s="143">
        <v>20</v>
      </c>
      <c r="D35" s="144"/>
      <c r="E35" s="145">
        <f t="shared" si="12"/>
        <v>20</v>
      </c>
      <c r="F35" s="144"/>
      <c r="G35" s="144"/>
      <c r="H35" s="144"/>
      <c r="I35" s="144"/>
      <c r="J35" s="144"/>
      <c r="K35" s="144"/>
      <c r="L35" s="146">
        <f t="shared" si="13"/>
        <v>0</v>
      </c>
      <c r="M35" s="144"/>
      <c r="N35" s="144"/>
      <c r="O35" s="144"/>
      <c r="P35" s="144"/>
      <c r="Q35" s="144"/>
      <c r="R35" s="144"/>
      <c r="S35" s="144"/>
      <c r="T35" s="144"/>
      <c r="U35" s="144"/>
      <c r="V35" s="146">
        <f t="shared" si="14"/>
        <v>0</v>
      </c>
      <c r="W35" s="144">
        <v>20</v>
      </c>
      <c r="X35" s="144"/>
      <c r="Y35" s="146">
        <f t="shared" si="15"/>
        <v>20</v>
      </c>
      <c r="Z35" s="144"/>
      <c r="AA35" s="144"/>
      <c r="AB35" s="144"/>
      <c r="AC35" s="144"/>
      <c r="AD35" s="144"/>
      <c r="AE35" s="144"/>
      <c r="AF35" s="144"/>
      <c r="AG35" s="144"/>
      <c r="AH35" s="144"/>
      <c r="AI35" s="146">
        <f t="shared" si="16"/>
        <v>0</v>
      </c>
      <c r="AJ35" s="8"/>
      <c r="AK35" s="8"/>
      <c r="AL35" s="137"/>
      <c r="AM35" s="147">
        <f t="shared" si="1"/>
        <v>20</v>
      </c>
      <c r="AN35" s="144">
        <f t="shared" si="2"/>
        <v>0</v>
      </c>
      <c r="AO35" s="148">
        <f t="shared" si="3"/>
        <v>20</v>
      </c>
    </row>
    <row r="36" spans="1:42" ht="20.100000000000001" customHeight="1" x14ac:dyDescent="0.3">
      <c r="A36" s="104" t="s">
        <v>55</v>
      </c>
      <c r="B36" s="4" t="s">
        <v>63</v>
      </c>
      <c r="C36" s="143">
        <v>24</v>
      </c>
      <c r="D36" s="144"/>
      <c r="E36" s="145">
        <f t="shared" si="12"/>
        <v>24</v>
      </c>
      <c r="F36" s="144"/>
      <c r="G36" s="144"/>
      <c r="H36" s="144"/>
      <c r="I36" s="144"/>
      <c r="J36" s="144"/>
      <c r="K36" s="144"/>
      <c r="L36" s="146">
        <f t="shared" si="13"/>
        <v>0</v>
      </c>
      <c r="M36" s="144"/>
      <c r="N36" s="144"/>
      <c r="O36" s="144"/>
      <c r="P36" s="144"/>
      <c r="Q36" s="144"/>
      <c r="R36" s="144"/>
      <c r="S36" s="144"/>
      <c r="T36" s="144"/>
      <c r="U36" s="144"/>
      <c r="V36" s="146">
        <f t="shared" si="14"/>
        <v>0</v>
      </c>
      <c r="W36" s="8">
        <v>15</v>
      </c>
      <c r="X36" s="144"/>
      <c r="Y36" s="146">
        <f t="shared" si="15"/>
        <v>15</v>
      </c>
      <c r="Z36" s="144"/>
      <c r="AA36" s="144"/>
      <c r="AB36" s="8">
        <v>9</v>
      </c>
      <c r="AC36" s="144"/>
      <c r="AD36" s="144"/>
      <c r="AE36" s="144"/>
      <c r="AF36" s="144"/>
      <c r="AG36" s="144"/>
      <c r="AH36" s="144"/>
      <c r="AI36" s="146">
        <f t="shared" si="16"/>
        <v>9</v>
      </c>
      <c r="AJ36" s="8"/>
      <c r="AK36" s="8"/>
      <c r="AL36" s="137"/>
      <c r="AM36" s="147">
        <f t="shared" si="1"/>
        <v>24</v>
      </c>
      <c r="AN36" s="144">
        <f t="shared" si="2"/>
        <v>0</v>
      </c>
      <c r="AO36" s="148">
        <f t="shared" si="3"/>
        <v>24</v>
      </c>
    </row>
    <row r="37" spans="1:42" ht="20.100000000000001" customHeight="1" x14ac:dyDescent="0.3">
      <c r="A37" s="104" t="s">
        <v>55</v>
      </c>
      <c r="B37" s="4" t="s">
        <v>64</v>
      </c>
      <c r="C37" s="143">
        <v>26</v>
      </c>
      <c r="D37" s="144"/>
      <c r="E37" s="145">
        <f t="shared" si="12"/>
        <v>26</v>
      </c>
      <c r="F37" s="144"/>
      <c r="G37" s="144"/>
      <c r="H37" s="144"/>
      <c r="I37" s="144"/>
      <c r="J37" s="144"/>
      <c r="K37" s="144"/>
      <c r="L37" s="146">
        <f t="shared" si="13"/>
        <v>0</v>
      </c>
      <c r="M37" s="144"/>
      <c r="N37" s="144"/>
      <c r="O37" s="144"/>
      <c r="P37" s="144"/>
      <c r="Q37" s="144">
        <v>10</v>
      </c>
      <c r="R37" s="144"/>
      <c r="S37" s="144"/>
      <c r="T37" s="144"/>
      <c r="U37" s="144"/>
      <c r="V37" s="146">
        <f t="shared" si="14"/>
        <v>10</v>
      </c>
      <c r="W37" s="144"/>
      <c r="X37" s="144">
        <f>6+3</f>
        <v>9</v>
      </c>
      <c r="Y37" s="146">
        <f t="shared" si="15"/>
        <v>19</v>
      </c>
      <c r="Z37" s="144">
        <v>7</v>
      </c>
      <c r="AA37" s="144"/>
      <c r="AB37" s="144"/>
      <c r="AC37" s="144"/>
      <c r="AD37" s="144"/>
      <c r="AE37" s="144"/>
      <c r="AF37" s="144"/>
      <c r="AG37" s="144"/>
      <c r="AH37" s="144"/>
      <c r="AI37" s="146">
        <f t="shared" si="16"/>
        <v>7</v>
      </c>
      <c r="AJ37" s="8"/>
      <c r="AK37" s="8"/>
      <c r="AL37" s="137"/>
      <c r="AM37" s="147">
        <f t="shared" si="1"/>
        <v>26</v>
      </c>
      <c r="AN37" s="144">
        <f t="shared" si="2"/>
        <v>0</v>
      </c>
      <c r="AO37" s="148">
        <f t="shared" si="3"/>
        <v>26</v>
      </c>
    </row>
    <row r="38" spans="1:42" ht="20.100000000000001" customHeight="1" x14ac:dyDescent="0.3">
      <c r="A38" s="104" t="s">
        <v>55</v>
      </c>
      <c r="B38" s="4" t="s">
        <v>65</v>
      </c>
      <c r="C38" s="143">
        <v>29</v>
      </c>
      <c r="D38" s="144"/>
      <c r="E38" s="145">
        <f t="shared" si="12"/>
        <v>29</v>
      </c>
      <c r="F38" s="144"/>
      <c r="G38" s="144"/>
      <c r="H38" s="144"/>
      <c r="I38" s="144"/>
      <c r="J38" s="144"/>
      <c r="K38" s="144"/>
      <c r="L38" s="146">
        <f t="shared" si="13"/>
        <v>0</v>
      </c>
      <c r="M38" s="144"/>
      <c r="N38" s="144"/>
      <c r="O38" s="144"/>
      <c r="P38" s="144"/>
      <c r="Q38" s="144"/>
      <c r="R38" s="144"/>
      <c r="S38" s="144"/>
      <c r="T38" s="144"/>
      <c r="U38" s="144"/>
      <c r="V38" s="146">
        <f t="shared" si="14"/>
        <v>0</v>
      </c>
      <c r="W38" s="144">
        <v>29</v>
      </c>
      <c r="X38" s="144"/>
      <c r="Y38" s="146">
        <f t="shared" si="15"/>
        <v>29</v>
      </c>
      <c r="Z38" s="144"/>
      <c r="AA38" s="144"/>
      <c r="AB38" s="144"/>
      <c r="AC38" s="144"/>
      <c r="AD38" s="144"/>
      <c r="AE38" s="144"/>
      <c r="AF38" s="144"/>
      <c r="AG38" s="144"/>
      <c r="AH38" s="144"/>
      <c r="AI38" s="146">
        <f t="shared" si="16"/>
        <v>0</v>
      </c>
      <c r="AJ38" s="8"/>
      <c r="AK38" s="8"/>
      <c r="AL38" s="137"/>
      <c r="AM38" s="147">
        <f t="shared" si="1"/>
        <v>29</v>
      </c>
      <c r="AN38" s="144">
        <f t="shared" si="2"/>
        <v>0</v>
      </c>
      <c r="AO38" s="148">
        <f t="shared" si="3"/>
        <v>29</v>
      </c>
    </row>
    <row r="39" spans="1:42" ht="20.100000000000001" customHeight="1" x14ac:dyDescent="0.3">
      <c r="A39" s="104" t="s">
        <v>55</v>
      </c>
      <c r="B39" s="4" t="s">
        <v>66</v>
      </c>
      <c r="C39" s="143">
        <v>46</v>
      </c>
      <c r="D39" s="144"/>
      <c r="E39" s="145">
        <f t="shared" si="12"/>
        <v>46</v>
      </c>
      <c r="F39" s="144">
        <v>7</v>
      </c>
      <c r="G39" s="144">
        <v>5</v>
      </c>
      <c r="H39" s="144"/>
      <c r="I39" s="144"/>
      <c r="J39" s="144"/>
      <c r="K39" s="144">
        <v>1</v>
      </c>
      <c r="L39" s="146">
        <f t="shared" si="13"/>
        <v>13</v>
      </c>
      <c r="M39" s="144">
        <v>13</v>
      </c>
      <c r="N39" s="144">
        <v>7</v>
      </c>
      <c r="O39" s="144"/>
      <c r="P39" s="144"/>
      <c r="Q39" s="144"/>
      <c r="R39" s="144">
        <v>2</v>
      </c>
      <c r="S39" s="144"/>
      <c r="T39" s="144">
        <v>2</v>
      </c>
      <c r="U39" s="144"/>
      <c r="V39" s="146">
        <f t="shared" si="14"/>
        <v>24</v>
      </c>
      <c r="W39" s="144"/>
      <c r="X39" s="144"/>
      <c r="Y39" s="146">
        <f t="shared" si="15"/>
        <v>37</v>
      </c>
      <c r="Z39" s="144">
        <v>13</v>
      </c>
      <c r="AA39" s="144"/>
      <c r="AB39" s="144"/>
      <c r="AC39" s="144"/>
      <c r="AD39" s="144"/>
      <c r="AE39" s="144"/>
      <c r="AF39" s="144"/>
      <c r="AG39" s="144"/>
      <c r="AH39" s="144"/>
      <c r="AI39" s="146">
        <f t="shared" si="16"/>
        <v>13</v>
      </c>
      <c r="AJ39" s="8"/>
      <c r="AK39" s="8"/>
      <c r="AL39" s="137"/>
      <c r="AM39" s="147">
        <f t="shared" si="1"/>
        <v>46</v>
      </c>
      <c r="AN39" s="144">
        <f t="shared" si="2"/>
        <v>4</v>
      </c>
      <c r="AO39" s="148">
        <f t="shared" si="3"/>
        <v>50</v>
      </c>
    </row>
    <row r="40" spans="1:42" s="155" customFormat="1" ht="20.100000000000001" customHeight="1" x14ac:dyDescent="0.3">
      <c r="A40" s="105" t="s">
        <v>36</v>
      </c>
      <c r="B40" s="7" t="s">
        <v>128</v>
      </c>
      <c r="C40" s="149">
        <f t="shared" ref="C40:AO40" si="17">SUM(C27:C39)</f>
        <v>588</v>
      </c>
      <c r="D40" s="114">
        <f t="shared" si="17"/>
        <v>0</v>
      </c>
      <c r="E40" s="114">
        <f t="shared" si="17"/>
        <v>588</v>
      </c>
      <c r="F40" s="150">
        <f t="shared" si="17"/>
        <v>72</v>
      </c>
      <c r="G40" s="150">
        <f t="shared" si="17"/>
        <v>44</v>
      </c>
      <c r="H40" s="150">
        <f t="shared" si="17"/>
        <v>0</v>
      </c>
      <c r="I40" s="150">
        <f t="shared" si="17"/>
        <v>0</v>
      </c>
      <c r="J40" s="150">
        <f t="shared" si="17"/>
        <v>0</v>
      </c>
      <c r="K40" s="150">
        <f t="shared" si="17"/>
        <v>16</v>
      </c>
      <c r="L40" s="150">
        <f t="shared" si="17"/>
        <v>132</v>
      </c>
      <c r="M40" s="150">
        <f t="shared" si="17"/>
        <v>119</v>
      </c>
      <c r="N40" s="150">
        <f t="shared" si="17"/>
        <v>79</v>
      </c>
      <c r="O40" s="150">
        <f t="shared" si="17"/>
        <v>0</v>
      </c>
      <c r="P40" s="150">
        <f t="shared" si="17"/>
        <v>15</v>
      </c>
      <c r="Q40" s="150">
        <f t="shared" si="17"/>
        <v>10</v>
      </c>
      <c r="R40" s="150">
        <f t="shared" si="17"/>
        <v>23</v>
      </c>
      <c r="S40" s="150">
        <f t="shared" si="17"/>
        <v>0</v>
      </c>
      <c r="T40" s="150">
        <f t="shared" si="17"/>
        <v>7</v>
      </c>
      <c r="U40" s="150">
        <f t="shared" si="17"/>
        <v>0</v>
      </c>
      <c r="V40" s="150">
        <f t="shared" si="17"/>
        <v>253</v>
      </c>
      <c r="W40" s="150">
        <f t="shared" si="17"/>
        <v>100</v>
      </c>
      <c r="X40" s="150">
        <f t="shared" si="17"/>
        <v>9</v>
      </c>
      <c r="Y40" s="150">
        <f t="shared" si="17"/>
        <v>494</v>
      </c>
      <c r="Z40" s="150">
        <f t="shared" si="17"/>
        <v>115</v>
      </c>
      <c r="AA40" s="150">
        <f t="shared" si="17"/>
        <v>0</v>
      </c>
      <c r="AB40" s="150">
        <f t="shared" si="17"/>
        <v>9</v>
      </c>
      <c r="AC40" s="150">
        <f t="shared" si="17"/>
        <v>0</v>
      </c>
      <c r="AD40" s="150">
        <f t="shared" si="17"/>
        <v>0</v>
      </c>
      <c r="AE40" s="150">
        <f t="shared" si="17"/>
        <v>0</v>
      </c>
      <c r="AF40" s="150">
        <f t="shared" si="17"/>
        <v>0</v>
      </c>
      <c r="AG40" s="150">
        <f t="shared" si="17"/>
        <v>0</v>
      </c>
      <c r="AH40" s="150">
        <f t="shared" si="17"/>
        <v>0</v>
      </c>
      <c r="AI40" s="150">
        <f t="shared" si="17"/>
        <v>124</v>
      </c>
      <c r="AJ40" s="150">
        <f t="shared" si="17"/>
        <v>0</v>
      </c>
      <c r="AK40" s="150">
        <f t="shared" si="17"/>
        <v>0</v>
      </c>
      <c r="AL40" s="151">
        <f t="shared" si="17"/>
        <v>0</v>
      </c>
      <c r="AM40" s="152">
        <f t="shared" si="17"/>
        <v>588</v>
      </c>
      <c r="AN40" s="150">
        <f t="shared" si="17"/>
        <v>30</v>
      </c>
      <c r="AO40" s="153">
        <f t="shared" si="17"/>
        <v>618</v>
      </c>
      <c r="AP40" s="154"/>
    </row>
    <row r="41" spans="1:42" ht="20.100000000000001" customHeight="1" x14ac:dyDescent="0.3">
      <c r="A41" s="104" t="s">
        <v>67</v>
      </c>
      <c r="B41" s="4" t="s">
        <v>68</v>
      </c>
      <c r="C41" s="143">
        <v>14</v>
      </c>
      <c r="D41" s="144"/>
      <c r="E41" s="145">
        <f t="shared" ref="E41:E52" si="18">C41+D41</f>
        <v>14</v>
      </c>
      <c r="F41" s="144"/>
      <c r="G41" s="144">
        <v>3</v>
      </c>
      <c r="H41" s="144"/>
      <c r="I41" s="144"/>
      <c r="J41" s="144"/>
      <c r="K41" s="144">
        <v>1</v>
      </c>
      <c r="L41" s="146">
        <f t="shared" ref="L41:L52" si="19">SUM(F41:K41)</f>
        <v>4</v>
      </c>
      <c r="M41" s="144">
        <v>3</v>
      </c>
      <c r="N41" s="144">
        <v>3</v>
      </c>
      <c r="O41" s="144"/>
      <c r="P41" s="144"/>
      <c r="Q41" s="144"/>
      <c r="R41" s="144">
        <v>1</v>
      </c>
      <c r="S41" s="144"/>
      <c r="T41" s="144"/>
      <c r="U41" s="144">
        <v>1</v>
      </c>
      <c r="V41" s="146">
        <f t="shared" ref="V41:V52" si="20">SUM(M41:U41)</f>
        <v>8</v>
      </c>
      <c r="W41" s="144"/>
      <c r="X41" s="144"/>
      <c r="Y41" s="146">
        <f t="shared" ref="Y41:Y52" si="21">SUM(F41:K41)+SUM(M41:U41)+SUM(W41:X41)</f>
        <v>12</v>
      </c>
      <c r="Z41" s="144"/>
      <c r="AA41" s="144"/>
      <c r="AB41" s="144"/>
      <c r="AC41" s="144">
        <v>4</v>
      </c>
      <c r="AD41" s="144"/>
      <c r="AE41" s="144"/>
      <c r="AF41" s="144"/>
      <c r="AG41" s="144"/>
      <c r="AH41" s="144"/>
      <c r="AI41" s="146">
        <f t="shared" ref="AI41:AI52" si="22">SUM(Z41:AE41)</f>
        <v>4</v>
      </c>
      <c r="AJ41" s="8"/>
      <c r="AK41" s="8"/>
      <c r="AL41" s="137"/>
      <c r="AM41" s="147">
        <f t="shared" si="1"/>
        <v>14</v>
      </c>
      <c r="AN41" s="144">
        <f t="shared" si="2"/>
        <v>2</v>
      </c>
      <c r="AO41" s="148">
        <f t="shared" si="3"/>
        <v>16</v>
      </c>
    </row>
    <row r="42" spans="1:42" ht="20.100000000000001" customHeight="1" x14ac:dyDescent="0.3">
      <c r="A42" s="104" t="s">
        <v>67</v>
      </c>
      <c r="B42" s="4" t="s">
        <v>69</v>
      </c>
      <c r="C42" s="143">
        <v>31</v>
      </c>
      <c r="D42" s="144"/>
      <c r="E42" s="145">
        <f t="shared" si="18"/>
        <v>31</v>
      </c>
      <c r="F42" s="144"/>
      <c r="G42" s="8">
        <v>10</v>
      </c>
      <c r="H42" s="144"/>
      <c r="I42" s="144"/>
      <c r="J42" s="144"/>
      <c r="K42" s="144">
        <v>1</v>
      </c>
      <c r="L42" s="146">
        <f t="shared" si="19"/>
        <v>11</v>
      </c>
      <c r="M42" s="8">
        <v>8</v>
      </c>
      <c r="N42" s="8">
        <v>5</v>
      </c>
      <c r="O42" s="144"/>
      <c r="P42" s="144"/>
      <c r="Q42" s="144"/>
      <c r="R42" s="144">
        <v>2</v>
      </c>
      <c r="S42" s="144"/>
      <c r="T42" s="144"/>
      <c r="U42" s="144"/>
      <c r="V42" s="146">
        <f t="shared" si="20"/>
        <v>15</v>
      </c>
      <c r="W42" s="144"/>
      <c r="X42" s="144"/>
      <c r="Y42" s="146">
        <f t="shared" si="21"/>
        <v>26</v>
      </c>
      <c r="Z42" s="144"/>
      <c r="AA42" s="144"/>
      <c r="AB42" s="144"/>
      <c r="AC42" s="8">
        <v>7</v>
      </c>
      <c r="AD42" s="144"/>
      <c r="AE42" s="144"/>
      <c r="AF42" s="144"/>
      <c r="AG42" s="144"/>
      <c r="AH42" s="144"/>
      <c r="AI42" s="146">
        <f t="shared" si="22"/>
        <v>7</v>
      </c>
      <c r="AJ42" s="8"/>
      <c r="AK42" s="8"/>
      <c r="AL42" s="137"/>
      <c r="AM42" s="147">
        <f t="shared" si="1"/>
        <v>31</v>
      </c>
      <c r="AN42" s="144">
        <f t="shared" si="2"/>
        <v>2</v>
      </c>
      <c r="AO42" s="148">
        <f t="shared" si="3"/>
        <v>33</v>
      </c>
    </row>
    <row r="43" spans="1:42" ht="20.100000000000001" customHeight="1" x14ac:dyDescent="0.3">
      <c r="A43" s="104" t="s">
        <v>67</v>
      </c>
      <c r="B43" s="4" t="s">
        <v>70</v>
      </c>
      <c r="C43" s="143">
        <v>16</v>
      </c>
      <c r="D43" s="144"/>
      <c r="E43" s="145">
        <f t="shared" si="18"/>
        <v>16</v>
      </c>
      <c r="F43" s="144"/>
      <c r="G43" s="144">
        <v>4</v>
      </c>
      <c r="H43" s="144"/>
      <c r="I43" s="144"/>
      <c r="J43" s="144"/>
      <c r="K43" s="144">
        <v>1</v>
      </c>
      <c r="L43" s="146">
        <f t="shared" si="19"/>
        <v>5</v>
      </c>
      <c r="M43" s="144">
        <v>3</v>
      </c>
      <c r="N43" s="144">
        <v>3</v>
      </c>
      <c r="O43" s="144"/>
      <c r="P43" s="144"/>
      <c r="Q43" s="144"/>
      <c r="R43" s="144">
        <v>1</v>
      </c>
      <c r="S43" s="144"/>
      <c r="T43" s="144"/>
      <c r="U43" s="144">
        <v>1</v>
      </c>
      <c r="V43" s="146">
        <f t="shared" si="20"/>
        <v>8</v>
      </c>
      <c r="W43" s="144"/>
      <c r="X43" s="144"/>
      <c r="Y43" s="146">
        <f t="shared" si="21"/>
        <v>13</v>
      </c>
      <c r="Z43" s="144"/>
      <c r="AA43" s="144"/>
      <c r="AB43" s="144"/>
      <c r="AC43" s="144">
        <v>5</v>
      </c>
      <c r="AD43" s="144"/>
      <c r="AE43" s="144"/>
      <c r="AF43" s="144"/>
      <c r="AG43" s="144"/>
      <c r="AH43" s="144"/>
      <c r="AI43" s="146">
        <f t="shared" si="22"/>
        <v>5</v>
      </c>
      <c r="AJ43" s="8"/>
      <c r="AK43" s="8"/>
      <c r="AL43" s="137"/>
      <c r="AM43" s="147">
        <f t="shared" si="1"/>
        <v>16</v>
      </c>
      <c r="AN43" s="144">
        <f t="shared" si="2"/>
        <v>2</v>
      </c>
      <c r="AO43" s="148">
        <f t="shared" si="3"/>
        <v>18</v>
      </c>
    </row>
    <row r="44" spans="1:42" ht="20.100000000000001" customHeight="1" x14ac:dyDescent="0.3">
      <c r="A44" s="104" t="s">
        <v>67</v>
      </c>
      <c r="B44" s="4" t="s">
        <v>71</v>
      </c>
      <c r="C44" s="143">
        <v>23</v>
      </c>
      <c r="D44" s="144"/>
      <c r="E44" s="145">
        <f t="shared" si="18"/>
        <v>23</v>
      </c>
      <c r="F44" s="144"/>
      <c r="G44" s="144">
        <v>5</v>
      </c>
      <c r="H44" s="144"/>
      <c r="I44" s="144"/>
      <c r="J44" s="144"/>
      <c r="K44" s="144">
        <v>1</v>
      </c>
      <c r="L44" s="146">
        <f t="shared" si="19"/>
        <v>6</v>
      </c>
      <c r="M44" s="144">
        <v>7</v>
      </c>
      <c r="N44" s="144">
        <v>4</v>
      </c>
      <c r="O44" s="144"/>
      <c r="P44" s="144"/>
      <c r="Q44" s="144"/>
      <c r="R44" s="144">
        <v>2</v>
      </c>
      <c r="S44" s="144"/>
      <c r="T44" s="144"/>
      <c r="U44" s="144">
        <v>1</v>
      </c>
      <c r="V44" s="146">
        <f t="shared" si="20"/>
        <v>14</v>
      </c>
      <c r="W44" s="144"/>
      <c r="X44" s="144"/>
      <c r="Y44" s="146">
        <f t="shared" si="21"/>
        <v>20</v>
      </c>
      <c r="Z44" s="144"/>
      <c r="AA44" s="144"/>
      <c r="AB44" s="144"/>
      <c r="AC44" s="144">
        <v>6</v>
      </c>
      <c r="AD44" s="144"/>
      <c r="AE44" s="144"/>
      <c r="AF44" s="144"/>
      <c r="AG44" s="144"/>
      <c r="AH44" s="144"/>
      <c r="AI44" s="146">
        <f t="shared" si="22"/>
        <v>6</v>
      </c>
      <c r="AJ44" s="8"/>
      <c r="AK44" s="8"/>
      <c r="AL44" s="137"/>
      <c r="AM44" s="147">
        <f t="shared" si="1"/>
        <v>23</v>
      </c>
      <c r="AN44" s="144">
        <f t="shared" si="2"/>
        <v>3</v>
      </c>
      <c r="AO44" s="148">
        <f t="shared" si="3"/>
        <v>26</v>
      </c>
    </row>
    <row r="45" spans="1:42" ht="20.100000000000001" customHeight="1" x14ac:dyDescent="0.3">
      <c r="A45" s="104" t="s">
        <v>67</v>
      </c>
      <c r="B45" s="4" t="s">
        <v>72</v>
      </c>
      <c r="C45" s="143">
        <v>16</v>
      </c>
      <c r="D45" s="144"/>
      <c r="E45" s="145">
        <f t="shared" si="18"/>
        <v>16</v>
      </c>
      <c r="F45" s="144"/>
      <c r="G45" s="144">
        <v>4</v>
      </c>
      <c r="H45" s="144"/>
      <c r="I45" s="144"/>
      <c r="J45" s="144"/>
      <c r="K45" s="144">
        <v>1</v>
      </c>
      <c r="L45" s="146">
        <f t="shared" si="19"/>
        <v>5</v>
      </c>
      <c r="M45" s="144">
        <v>4</v>
      </c>
      <c r="N45" s="8">
        <v>3</v>
      </c>
      <c r="O45" s="144"/>
      <c r="P45" s="144"/>
      <c r="Q45" s="144"/>
      <c r="R45" s="144">
        <v>1</v>
      </c>
      <c r="S45" s="144"/>
      <c r="T45" s="144"/>
      <c r="U45" s="144">
        <v>1</v>
      </c>
      <c r="V45" s="146">
        <f t="shared" si="20"/>
        <v>9</v>
      </c>
      <c r="W45" s="144"/>
      <c r="X45" s="144"/>
      <c r="Y45" s="146">
        <f t="shared" si="21"/>
        <v>14</v>
      </c>
      <c r="Z45" s="144"/>
      <c r="AA45" s="144"/>
      <c r="AB45" s="144"/>
      <c r="AC45" s="144">
        <v>4</v>
      </c>
      <c r="AD45" s="144"/>
      <c r="AE45" s="144"/>
      <c r="AF45" s="144"/>
      <c r="AG45" s="144"/>
      <c r="AH45" s="144"/>
      <c r="AI45" s="146">
        <f t="shared" si="22"/>
        <v>4</v>
      </c>
      <c r="AJ45" s="8"/>
      <c r="AK45" s="8"/>
      <c r="AL45" s="137"/>
      <c r="AM45" s="147">
        <f t="shared" si="1"/>
        <v>16</v>
      </c>
      <c r="AN45" s="144">
        <f t="shared" si="2"/>
        <v>2</v>
      </c>
      <c r="AO45" s="148">
        <f t="shared" si="3"/>
        <v>18</v>
      </c>
    </row>
    <row r="46" spans="1:42" ht="20.100000000000001" customHeight="1" x14ac:dyDescent="0.3">
      <c r="A46" s="104" t="s">
        <v>67</v>
      </c>
      <c r="B46" s="4" t="s">
        <v>73</v>
      </c>
      <c r="C46" s="143">
        <v>16</v>
      </c>
      <c r="D46" s="144"/>
      <c r="E46" s="145">
        <f t="shared" si="18"/>
        <v>16</v>
      </c>
      <c r="F46" s="144"/>
      <c r="G46" s="144">
        <v>4</v>
      </c>
      <c r="H46" s="144"/>
      <c r="I46" s="144"/>
      <c r="J46" s="144"/>
      <c r="K46" s="144">
        <v>1</v>
      </c>
      <c r="L46" s="146">
        <f t="shared" si="19"/>
        <v>5</v>
      </c>
      <c r="M46" s="144">
        <v>4</v>
      </c>
      <c r="N46" s="144">
        <v>3</v>
      </c>
      <c r="O46" s="144"/>
      <c r="P46" s="144"/>
      <c r="Q46" s="144"/>
      <c r="R46" s="144">
        <v>1</v>
      </c>
      <c r="S46" s="144"/>
      <c r="T46" s="144"/>
      <c r="U46" s="144">
        <v>1</v>
      </c>
      <c r="V46" s="146">
        <f t="shared" si="20"/>
        <v>9</v>
      </c>
      <c r="W46" s="144"/>
      <c r="X46" s="144"/>
      <c r="Y46" s="146">
        <f t="shared" si="21"/>
        <v>14</v>
      </c>
      <c r="Z46" s="144"/>
      <c r="AA46" s="144"/>
      <c r="AB46" s="144"/>
      <c r="AC46" s="144">
        <v>4</v>
      </c>
      <c r="AD46" s="144"/>
      <c r="AE46" s="144"/>
      <c r="AF46" s="144"/>
      <c r="AG46" s="144"/>
      <c r="AH46" s="144"/>
      <c r="AI46" s="146">
        <f t="shared" si="22"/>
        <v>4</v>
      </c>
      <c r="AJ46" s="8"/>
      <c r="AK46" s="8"/>
      <c r="AL46" s="137"/>
      <c r="AM46" s="147">
        <f t="shared" si="1"/>
        <v>16</v>
      </c>
      <c r="AN46" s="144">
        <f t="shared" si="2"/>
        <v>2</v>
      </c>
      <c r="AO46" s="148">
        <f t="shared" si="3"/>
        <v>18</v>
      </c>
    </row>
    <row r="47" spans="1:42" ht="20.100000000000001" customHeight="1" x14ac:dyDescent="0.3">
      <c r="A47" s="104" t="s">
        <v>67</v>
      </c>
      <c r="B47" s="4" t="s">
        <v>74</v>
      </c>
      <c r="C47" s="143">
        <v>16</v>
      </c>
      <c r="D47" s="144"/>
      <c r="E47" s="145">
        <f t="shared" si="18"/>
        <v>16</v>
      </c>
      <c r="F47" s="144"/>
      <c r="G47" s="8">
        <v>0</v>
      </c>
      <c r="H47" s="144"/>
      <c r="I47" s="144"/>
      <c r="J47" s="144"/>
      <c r="K47" s="144">
        <v>1</v>
      </c>
      <c r="L47" s="146">
        <f t="shared" si="19"/>
        <v>1</v>
      </c>
      <c r="M47" s="8">
        <v>7</v>
      </c>
      <c r="N47" s="144">
        <v>4</v>
      </c>
      <c r="O47" s="144"/>
      <c r="P47" s="144"/>
      <c r="Q47" s="144"/>
      <c r="R47" s="144">
        <v>1</v>
      </c>
      <c r="S47" s="144"/>
      <c r="T47" s="144"/>
      <c r="U47" s="144">
        <v>1</v>
      </c>
      <c r="V47" s="146">
        <f t="shared" si="20"/>
        <v>13</v>
      </c>
      <c r="W47" s="144"/>
      <c r="X47" s="144"/>
      <c r="Y47" s="146">
        <f t="shared" si="21"/>
        <v>14</v>
      </c>
      <c r="Z47" s="144"/>
      <c r="AA47" s="144"/>
      <c r="AB47" s="144"/>
      <c r="AC47" s="8">
        <v>4</v>
      </c>
      <c r="AD47" s="144"/>
      <c r="AE47" s="144"/>
      <c r="AF47" s="144"/>
      <c r="AG47" s="144"/>
      <c r="AH47" s="144"/>
      <c r="AI47" s="146">
        <f t="shared" si="22"/>
        <v>4</v>
      </c>
      <c r="AJ47" s="8"/>
      <c r="AK47" s="8"/>
      <c r="AL47" s="137"/>
      <c r="AM47" s="147">
        <f t="shared" si="1"/>
        <v>16</v>
      </c>
      <c r="AN47" s="144">
        <f t="shared" si="2"/>
        <v>2</v>
      </c>
      <c r="AO47" s="148">
        <f t="shared" si="3"/>
        <v>18</v>
      </c>
    </row>
    <row r="48" spans="1:42" ht="20.100000000000001" customHeight="1" x14ac:dyDescent="0.3">
      <c r="A48" s="104" t="s">
        <v>67</v>
      </c>
      <c r="B48" s="4" t="s">
        <v>75</v>
      </c>
      <c r="C48" s="143">
        <v>12</v>
      </c>
      <c r="D48" s="144"/>
      <c r="E48" s="145">
        <f t="shared" si="18"/>
        <v>12</v>
      </c>
      <c r="F48" s="144"/>
      <c r="G48" s="144">
        <v>4</v>
      </c>
      <c r="H48" s="144"/>
      <c r="I48" s="144"/>
      <c r="J48" s="144"/>
      <c r="K48" s="144">
        <v>1</v>
      </c>
      <c r="L48" s="146">
        <f t="shared" si="19"/>
        <v>5</v>
      </c>
      <c r="M48" s="144"/>
      <c r="N48" s="144">
        <v>3</v>
      </c>
      <c r="O48" s="144"/>
      <c r="P48" s="144"/>
      <c r="Q48" s="144"/>
      <c r="R48" s="144">
        <v>1</v>
      </c>
      <c r="S48" s="144"/>
      <c r="T48" s="144"/>
      <c r="U48" s="144">
        <v>1</v>
      </c>
      <c r="V48" s="146">
        <f t="shared" si="20"/>
        <v>5</v>
      </c>
      <c r="W48" s="144"/>
      <c r="X48" s="144"/>
      <c r="Y48" s="146">
        <f t="shared" si="21"/>
        <v>10</v>
      </c>
      <c r="Z48" s="144"/>
      <c r="AA48" s="144"/>
      <c r="AB48" s="144"/>
      <c r="AC48" s="144">
        <v>4</v>
      </c>
      <c r="AD48" s="144"/>
      <c r="AE48" s="144"/>
      <c r="AF48" s="144"/>
      <c r="AG48" s="144"/>
      <c r="AH48" s="144"/>
      <c r="AI48" s="146">
        <f t="shared" si="22"/>
        <v>4</v>
      </c>
      <c r="AJ48" s="8"/>
      <c r="AK48" s="8"/>
      <c r="AL48" s="137"/>
      <c r="AM48" s="147">
        <f t="shared" si="1"/>
        <v>12</v>
      </c>
      <c r="AN48" s="144">
        <f t="shared" si="2"/>
        <v>2</v>
      </c>
      <c r="AO48" s="148">
        <f t="shared" si="3"/>
        <v>14</v>
      </c>
    </row>
    <row r="49" spans="1:42" ht="20.100000000000001" customHeight="1" x14ac:dyDescent="0.3">
      <c r="A49" s="104" t="s">
        <v>67</v>
      </c>
      <c r="B49" s="4" t="s">
        <v>76</v>
      </c>
      <c r="C49" s="143">
        <v>11</v>
      </c>
      <c r="D49" s="144"/>
      <c r="E49" s="145">
        <f t="shared" si="18"/>
        <v>11</v>
      </c>
      <c r="F49" s="144"/>
      <c r="G49" s="144">
        <v>0</v>
      </c>
      <c r="H49" s="144"/>
      <c r="I49" s="144"/>
      <c r="J49" s="144"/>
      <c r="K49" s="144">
        <v>1</v>
      </c>
      <c r="L49" s="146">
        <f t="shared" si="19"/>
        <v>1</v>
      </c>
      <c r="M49" s="144">
        <v>4</v>
      </c>
      <c r="N49" s="144">
        <v>2</v>
      </c>
      <c r="O49" s="144"/>
      <c r="P49" s="144"/>
      <c r="Q49" s="144"/>
      <c r="R49" s="144">
        <v>1</v>
      </c>
      <c r="S49" s="144"/>
      <c r="T49" s="144"/>
      <c r="U49" s="144">
        <v>1</v>
      </c>
      <c r="V49" s="146">
        <f t="shared" si="20"/>
        <v>8</v>
      </c>
      <c r="W49" s="144"/>
      <c r="X49" s="144"/>
      <c r="Y49" s="146">
        <f t="shared" si="21"/>
        <v>9</v>
      </c>
      <c r="Z49" s="144"/>
      <c r="AA49" s="144"/>
      <c r="AB49" s="144"/>
      <c r="AC49" s="144">
        <v>4</v>
      </c>
      <c r="AD49" s="144"/>
      <c r="AE49" s="144"/>
      <c r="AF49" s="144"/>
      <c r="AG49" s="144"/>
      <c r="AH49" s="144"/>
      <c r="AI49" s="146">
        <f t="shared" si="22"/>
        <v>4</v>
      </c>
      <c r="AJ49" s="8"/>
      <c r="AK49" s="8"/>
      <c r="AL49" s="137"/>
      <c r="AM49" s="147">
        <f t="shared" si="1"/>
        <v>11</v>
      </c>
      <c r="AN49" s="144">
        <f t="shared" si="2"/>
        <v>2</v>
      </c>
      <c r="AO49" s="148">
        <f t="shared" si="3"/>
        <v>13</v>
      </c>
    </row>
    <row r="50" spans="1:42" ht="20.100000000000001" customHeight="1" x14ac:dyDescent="0.3">
      <c r="A50" s="104" t="s">
        <v>67</v>
      </c>
      <c r="B50" s="4" t="s">
        <v>77</v>
      </c>
      <c r="C50" s="143">
        <v>41</v>
      </c>
      <c r="D50" s="144"/>
      <c r="E50" s="145">
        <f t="shared" si="18"/>
        <v>41</v>
      </c>
      <c r="F50" s="144"/>
      <c r="G50" s="144">
        <v>15</v>
      </c>
      <c r="H50" s="144"/>
      <c r="I50" s="144"/>
      <c r="J50" s="144"/>
      <c r="K50" s="144">
        <v>1</v>
      </c>
      <c r="L50" s="146">
        <f t="shared" si="19"/>
        <v>16</v>
      </c>
      <c r="M50" s="8">
        <v>7</v>
      </c>
      <c r="N50" s="8">
        <v>10</v>
      </c>
      <c r="O50" s="144"/>
      <c r="P50" s="144"/>
      <c r="Q50" s="144"/>
      <c r="R50" s="144">
        <v>3</v>
      </c>
      <c r="S50" s="144"/>
      <c r="T50" s="144"/>
      <c r="U50" s="144">
        <v>1</v>
      </c>
      <c r="V50" s="146">
        <f t="shared" si="20"/>
        <v>21</v>
      </c>
      <c r="W50" s="144"/>
      <c r="X50" s="144"/>
      <c r="Y50" s="146">
        <f t="shared" si="21"/>
        <v>37</v>
      </c>
      <c r="Z50" s="144"/>
      <c r="AA50" s="144"/>
      <c r="AB50" s="144"/>
      <c r="AC50" s="144">
        <v>8</v>
      </c>
      <c r="AD50" s="144"/>
      <c r="AE50" s="144"/>
      <c r="AF50" s="144"/>
      <c r="AG50" s="144"/>
      <c r="AH50" s="144"/>
      <c r="AI50" s="146">
        <f t="shared" si="22"/>
        <v>8</v>
      </c>
      <c r="AJ50" s="8"/>
      <c r="AK50" s="8"/>
      <c r="AL50" s="137"/>
      <c r="AM50" s="147">
        <f t="shared" si="1"/>
        <v>41</v>
      </c>
      <c r="AN50" s="144">
        <f t="shared" si="2"/>
        <v>4</v>
      </c>
      <c r="AO50" s="148">
        <f t="shared" si="3"/>
        <v>45</v>
      </c>
    </row>
    <row r="51" spans="1:42" ht="20.100000000000001" customHeight="1" x14ac:dyDescent="0.3">
      <c r="A51" s="104" t="s">
        <v>67</v>
      </c>
      <c r="B51" s="4" t="s">
        <v>78</v>
      </c>
      <c r="C51" s="143">
        <v>30</v>
      </c>
      <c r="D51" s="144"/>
      <c r="E51" s="145">
        <f t="shared" si="18"/>
        <v>30</v>
      </c>
      <c r="F51" s="144"/>
      <c r="G51" s="144">
        <v>9</v>
      </c>
      <c r="H51" s="144"/>
      <c r="I51" s="144"/>
      <c r="J51" s="144"/>
      <c r="K51" s="144">
        <v>1</v>
      </c>
      <c r="L51" s="146">
        <f t="shared" si="19"/>
        <v>10</v>
      </c>
      <c r="M51" s="144">
        <v>7</v>
      </c>
      <c r="N51" s="144">
        <v>6</v>
      </c>
      <c r="O51" s="144"/>
      <c r="P51" s="144"/>
      <c r="Q51" s="144"/>
      <c r="R51" s="144">
        <v>2</v>
      </c>
      <c r="S51" s="144"/>
      <c r="T51" s="144"/>
      <c r="U51" s="144">
        <v>1</v>
      </c>
      <c r="V51" s="146">
        <f t="shared" si="20"/>
        <v>16</v>
      </c>
      <c r="W51" s="144"/>
      <c r="X51" s="144"/>
      <c r="Y51" s="146">
        <f t="shared" si="21"/>
        <v>26</v>
      </c>
      <c r="Z51" s="144"/>
      <c r="AA51" s="144"/>
      <c r="AB51" s="144"/>
      <c r="AC51" s="144">
        <v>7</v>
      </c>
      <c r="AD51" s="144"/>
      <c r="AE51" s="144"/>
      <c r="AF51" s="144"/>
      <c r="AG51" s="144"/>
      <c r="AH51" s="144"/>
      <c r="AI51" s="146">
        <f t="shared" si="22"/>
        <v>7</v>
      </c>
      <c r="AJ51" s="8"/>
      <c r="AK51" s="8"/>
      <c r="AL51" s="137"/>
      <c r="AM51" s="147">
        <f t="shared" si="1"/>
        <v>30</v>
      </c>
      <c r="AN51" s="144">
        <f t="shared" si="2"/>
        <v>3</v>
      </c>
      <c r="AO51" s="148">
        <f t="shared" si="3"/>
        <v>33</v>
      </c>
    </row>
    <row r="52" spans="1:42" x14ac:dyDescent="0.3">
      <c r="A52" s="104" t="s">
        <v>67</v>
      </c>
      <c r="B52" s="4" t="s">
        <v>79</v>
      </c>
      <c r="C52" s="143">
        <v>14</v>
      </c>
      <c r="D52" s="144"/>
      <c r="E52" s="145">
        <f t="shared" si="18"/>
        <v>14</v>
      </c>
      <c r="F52" s="144"/>
      <c r="G52" s="8"/>
      <c r="H52" s="144"/>
      <c r="I52" s="144"/>
      <c r="J52" s="144"/>
      <c r="K52" s="144"/>
      <c r="L52" s="146">
        <f t="shared" si="19"/>
        <v>0</v>
      </c>
      <c r="M52" s="144"/>
      <c r="N52" s="144"/>
      <c r="O52" s="144"/>
      <c r="P52" s="144"/>
      <c r="Q52" s="8">
        <v>6</v>
      </c>
      <c r="R52" s="144">
        <v>1</v>
      </c>
      <c r="S52" s="144"/>
      <c r="T52" s="144"/>
      <c r="U52" s="144"/>
      <c r="V52" s="146">
        <f t="shared" si="20"/>
        <v>7</v>
      </c>
      <c r="W52" s="144"/>
      <c r="X52" s="144">
        <v>3</v>
      </c>
      <c r="Y52" s="146">
        <f t="shared" si="21"/>
        <v>10</v>
      </c>
      <c r="Z52" s="144"/>
      <c r="AA52" s="144"/>
      <c r="AB52" s="144"/>
      <c r="AC52" s="8">
        <v>5</v>
      </c>
      <c r="AD52" s="144"/>
      <c r="AE52" s="144"/>
      <c r="AF52" s="144"/>
      <c r="AG52" s="144"/>
      <c r="AH52" s="144"/>
      <c r="AI52" s="146">
        <f t="shared" si="22"/>
        <v>5</v>
      </c>
      <c r="AJ52" s="8"/>
      <c r="AK52" s="8"/>
      <c r="AL52" s="137"/>
      <c r="AM52" s="147">
        <f t="shared" si="1"/>
        <v>14</v>
      </c>
      <c r="AN52" s="144">
        <f t="shared" si="2"/>
        <v>1</v>
      </c>
      <c r="AO52" s="148">
        <f t="shared" si="3"/>
        <v>15</v>
      </c>
    </row>
    <row r="53" spans="1:42" s="155" customFormat="1" ht="20.100000000000001" customHeight="1" x14ac:dyDescent="0.3">
      <c r="A53" s="105" t="s">
        <v>36</v>
      </c>
      <c r="B53" s="7" t="s">
        <v>129</v>
      </c>
      <c r="C53" s="149">
        <f t="shared" ref="C53:AO53" si="23">SUM(C41:C52)</f>
        <v>240</v>
      </c>
      <c r="D53" s="114">
        <f t="shared" si="23"/>
        <v>0</v>
      </c>
      <c r="E53" s="114">
        <f t="shared" si="23"/>
        <v>240</v>
      </c>
      <c r="F53" s="150">
        <f t="shared" si="23"/>
        <v>0</v>
      </c>
      <c r="G53" s="150">
        <f t="shared" si="23"/>
        <v>58</v>
      </c>
      <c r="H53" s="150">
        <f t="shared" si="23"/>
        <v>0</v>
      </c>
      <c r="I53" s="150">
        <f t="shared" si="23"/>
        <v>0</v>
      </c>
      <c r="J53" s="150">
        <f t="shared" si="23"/>
        <v>0</v>
      </c>
      <c r="K53" s="150">
        <f t="shared" si="23"/>
        <v>11</v>
      </c>
      <c r="L53" s="150">
        <f t="shared" si="23"/>
        <v>69</v>
      </c>
      <c r="M53" s="150">
        <f t="shared" si="23"/>
        <v>54</v>
      </c>
      <c r="N53" s="150">
        <f t="shared" si="23"/>
        <v>46</v>
      </c>
      <c r="O53" s="150">
        <f t="shared" si="23"/>
        <v>0</v>
      </c>
      <c r="P53" s="150">
        <f t="shared" si="23"/>
        <v>0</v>
      </c>
      <c r="Q53" s="150">
        <f t="shared" si="23"/>
        <v>6</v>
      </c>
      <c r="R53" s="150">
        <f t="shared" si="23"/>
        <v>17</v>
      </c>
      <c r="S53" s="150">
        <f t="shared" si="23"/>
        <v>0</v>
      </c>
      <c r="T53" s="150">
        <f t="shared" si="23"/>
        <v>0</v>
      </c>
      <c r="U53" s="150">
        <f t="shared" si="23"/>
        <v>10</v>
      </c>
      <c r="V53" s="150">
        <f t="shared" si="23"/>
        <v>133</v>
      </c>
      <c r="W53" s="150">
        <f t="shared" si="23"/>
        <v>0</v>
      </c>
      <c r="X53" s="150">
        <f t="shared" si="23"/>
        <v>3</v>
      </c>
      <c r="Y53" s="150">
        <f t="shared" si="23"/>
        <v>205</v>
      </c>
      <c r="Z53" s="150">
        <f t="shared" si="23"/>
        <v>0</v>
      </c>
      <c r="AA53" s="150">
        <f t="shared" si="23"/>
        <v>0</v>
      </c>
      <c r="AB53" s="150">
        <f t="shared" si="23"/>
        <v>0</v>
      </c>
      <c r="AC53" s="150">
        <f t="shared" si="23"/>
        <v>62</v>
      </c>
      <c r="AD53" s="150">
        <f t="shared" si="23"/>
        <v>0</v>
      </c>
      <c r="AE53" s="150">
        <f t="shared" si="23"/>
        <v>0</v>
      </c>
      <c r="AF53" s="150">
        <f t="shared" si="23"/>
        <v>0</v>
      </c>
      <c r="AG53" s="150">
        <f t="shared" si="23"/>
        <v>0</v>
      </c>
      <c r="AH53" s="150">
        <f t="shared" si="23"/>
        <v>0</v>
      </c>
      <c r="AI53" s="150">
        <f t="shared" si="23"/>
        <v>62</v>
      </c>
      <c r="AJ53" s="150">
        <f t="shared" si="23"/>
        <v>0</v>
      </c>
      <c r="AK53" s="150">
        <f t="shared" si="23"/>
        <v>0</v>
      </c>
      <c r="AL53" s="151">
        <f t="shared" si="23"/>
        <v>0</v>
      </c>
      <c r="AM53" s="152">
        <f t="shared" si="23"/>
        <v>240</v>
      </c>
      <c r="AN53" s="150">
        <f t="shared" si="23"/>
        <v>27</v>
      </c>
      <c r="AO53" s="153">
        <f t="shared" si="23"/>
        <v>267</v>
      </c>
      <c r="AP53" s="154"/>
    </row>
    <row r="54" spans="1:42" ht="20.100000000000001" customHeight="1" x14ac:dyDescent="0.3">
      <c r="A54" s="104" t="s">
        <v>80</v>
      </c>
      <c r="B54" s="4" t="s">
        <v>81</v>
      </c>
      <c r="C54" s="143">
        <v>23</v>
      </c>
      <c r="D54" s="144"/>
      <c r="E54" s="145">
        <f t="shared" ref="E54:E59" si="24">C54+D54</f>
        <v>23</v>
      </c>
      <c r="F54" s="8">
        <v>4</v>
      </c>
      <c r="G54" s="8">
        <v>3</v>
      </c>
      <c r="H54" s="144"/>
      <c r="I54" s="144"/>
      <c r="J54" s="144"/>
      <c r="K54" s="144">
        <v>1</v>
      </c>
      <c r="L54" s="146">
        <f t="shared" ref="L54:L59" si="25">SUM(F54:K54)</f>
        <v>8</v>
      </c>
      <c r="M54" s="144">
        <v>6</v>
      </c>
      <c r="N54" s="144">
        <v>4</v>
      </c>
      <c r="O54" s="144"/>
      <c r="P54" s="144"/>
      <c r="Q54" s="144"/>
      <c r="R54" s="144">
        <v>1</v>
      </c>
      <c r="S54" s="144"/>
      <c r="T54" s="144"/>
      <c r="U54" s="157" t="s">
        <v>39</v>
      </c>
      <c r="V54" s="146">
        <f t="shared" ref="V54:V59" si="26">SUM(M54:U54)</f>
        <v>11</v>
      </c>
      <c r="W54" s="144"/>
      <c r="X54" s="144"/>
      <c r="Y54" s="146">
        <f t="shared" ref="Y54:Y59" si="27">SUM(F54:K54)+SUM(M54:U54)+SUM(W54:X54)</f>
        <v>19</v>
      </c>
      <c r="Z54" s="144">
        <v>5</v>
      </c>
      <c r="AA54" s="144"/>
      <c r="AB54" s="144"/>
      <c r="AC54" s="144"/>
      <c r="AD54" s="144"/>
      <c r="AE54" s="144"/>
      <c r="AF54" s="144"/>
      <c r="AG54" s="144"/>
      <c r="AH54" s="144"/>
      <c r="AI54" s="146">
        <f t="shared" ref="AI54:AI59" si="28">SUM(Z54:AE54)</f>
        <v>5</v>
      </c>
      <c r="AJ54" s="8"/>
      <c r="AK54" s="8"/>
      <c r="AL54" s="137"/>
      <c r="AM54" s="147">
        <f t="shared" si="1"/>
        <v>23</v>
      </c>
      <c r="AN54" s="144">
        <f t="shared" si="2"/>
        <v>1</v>
      </c>
      <c r="AO54" s="148">
        <f t="shared" si="3"/>
        <v>24</v>
      </c>
    </row>
    <row r="55" spans="1:42" ht="20.100000000000001" customHeight="1" x14ac:dyDescent="0.3">
      <c r="A55" s="104" t="s">
        <v>80</v>
      </c>
      <c r="B55" s="4" t="s">
        <v>82</v>
      </c>
      <c r="C55" s="143">
        <v>27</v>
      </c>
      <c r="D55" s="144"/>
      <c r="E55" s="145">
        <f t="shared" si="24"/>
        <v>27</v>
      </c>
      <c r="F55" s="144">
        <v>6</v>
      </c>
      <c r="G55" s="144">
        <v>3</v>
      </c>
      <c r="H55" s="144"/>
      <c r="I55" s="144"/>
      <c r="J55" s="144"/>
      <c r="K55" s="144">
        <v>1</v>
      </c>
      <c r="L55" s="146">
        <f t="shared" si="25"/>
        <v>10</v>
      </c>
      <c r="M55" s="144">
        <v>6</v>
      </c>
      <c r="N55" s="144">
        <v>4</v>
      </c>
      <c r="O55" s="144"/>
      <c r="P55" s="144">
        <v>2</v>
      </c>
      <c r="Q55" s="144"/>
      <c r="R55" s="144">
        <v>2</v>
      </c>
      <c r="S55" s="144"/>
      <c r="T55" s="144"/>
      <c r="U55" s="157" t="s">
        <v>39</v>
      </c>
      <c r="V55" s="146">
        <f t="shared" si="26"/>
        <v>14</v>
      </c>
      <c r="W55" s="144"/>
      <c r="X55" s="144"/>
      <c r="Y55" s="146">
        <f t="shared" si="27"/>
        <v>24</v>
      </c>
      <c r="Z55" s="144">
        <v>5</v>
      </c>
      <c r="AA55" s="144"/>
      <c r="AB55" s="144"/>
      <c r="AC55" s="144"/>
      <c r="AD55" s="144"/>
      <c r="AE55" s="144"/>
      <c r="AF55" s="144"/>
      <c r="AG55" s="144"/>
      <c r="AH55" s="144"/>
      <c r="AI55" s="146">
        <f t="shared" si="28"/>
        <v>5</v>
      </c>
      <c r="AJ55" s="8"/>
      <c r="AK55" s="8"/>
      <c r="AL55" s="137"/>
      <c r="AM55" s="147">
        <f t="shared" si="1"/>
        <v>27</v>
      </c>
      <c r="AN55" s="144">
        <f t="shared" si="2"/>
        <v>2</v>
      </c>
      <c r="AO55" s="148">
        <f t="shared" si="3"/>
        <v>29</v>
      </c>
    </row>
    <row r="56" spans="1:42" ht="20.100000000000001" customHeight="1" x14ac:dyDescent="0.3">
      <c r="A56" s="104" t="s">
        <v>80</v>
      </c>
      <c r="B56" s="4" t="s">
        <v>83</v>
      </c>
      <c r="C56" s="143">
        <v>28</v>
      </c>
      <c r="D56" s="144"/>
      <c r="E56" s="145">
        <f t="shared" si="24"/>
        <v>28</v>
      </c>
      <c r="F56" s="144"/>
      <c r="G56" s="144"/>
      <c r="H56" s="144"/>
      <c r="I56" s="144"/>
      <c r="J56" s="144"/>
      <c r="K56" s="144">
        <v>1</v>
      </c>
      <c r="L56" s="146">
        <f t="shared" si="25"/>
        <v>1</v>
      </c>
      <c r="M56" s="144">
        <v>15</v>
      </c>
      <c r="N56" s="144">
        <v>6</v>
      </c>
      <c r="O56" s="144"/>
      <c r="P56" s="144"/>
      <c r="Q56" s="144"/>
      <c r="R56" s="144">
        <v>1</v>
      </c>
      <c r="S56" s="144"/>
      <c r="T56" s="144"/>
      <c r="U56" s="157" t="s">
        <v>39</v>
      </c>
      <c r="V56" s="146">
        <f t="shared" si="26"/>
        <v>22</v>
      </c>
      <c r="W56" s="144"/>
      <c r="X56" s="144"/>
      <c r="Y56" s="146">
        <f t="shared" si="27"/>
        <v>23</v>
      </c>
      <c r="Z56" s="144">
        <v>6</v>
      </c>
      <c r="AA56" s="144"/>
      <c r="AB56" s="144"/>
      <c r="AC56" s="144"/>
      <c r="AD56" s="144"/>
      <c r="AE56" s="144"/>
      <c r="AF56" s="144"/>
      <c r="AG56" s="144"/>
      <c r="AH56" s="144"/>
      <c r="AI56" s="146">
        <f t="shared" si="28"/>
        <v>6</v>
      </c>
      <c r="AJ56" s="8"/>
      <c r="AK56" s="8"/>
      <c r="AL56" s="137"/>
      <c r="AM56" s="147">
        <f t="shared" si="1"/>
        <v>28</v>
      </c>
      <c r="AN56" s="144">
        <f t="shared" si="2"/>
        <v>1</v>
      </c>
      <c r="AO56" s="148">
        <f t="shared" si="3"/>
        <v>29</v>
      </c>
    </row>
    <row r="57" spans="1:42" ht="20.100000000000001" customHeight="1" x14ac:dyDescent="0.3">
      <c r="A57" s="104" t="s">
        <v>80</v>
      </c>
      <c r="B57" s="4" t="s">
        <v>84</v>
      </c>
      <c r="C57" s="143">
        <v>26</v>
      </c>
      <c r="D57" s="144"/>
      <c r="E57" s="145">
        <f t="shared" si="24"/>
        <v>26</v>
      </c>
      <c r="F57" s="144">
        <v>6</v>
      </c>
      <c r="G57" s="144">
        <v>3</v>
      </c>
      <c r="H57" s="144"/>
      <c r="I57" s="144"/>
      <c r="J57" s="144"/>
      <c r="K57" s="144">
        <v>1</v>
      </c>
      <c r="L57" s="146">
        <f t="shared" si="25"/>
        <v>10</v>
      </c>
      <c r="M57" s="144">
        <v>6</v>
      </c>
      <c r="N57" s="144">
        <v>2</v>
      </c>
      <c r="O57" s="144"/>
      <c r="P57" s="144">
        <v>2</v>
      </c>
      <c r="Q57" s="144"/>
      <c r="R57" s="144">
        <v>2</v>
      </c>
      <c r="S57" s="144"/>
      <c r="T57" s="144"/>
      <c r="U57" s="157" t="s">
        <v>39</v>
      </c>
      <c r="V57" s="146">
        <f t="shared" si="26"/>
        <v>12</v>
      </c>
      <c r="W57" s="144"/>
      <c r="X57" s="144"/>
      <c r="Y57" s="146">
        <f t="shared" si="27"/>
        <v>22</v>
      </c>
      <c r="Z57" s="144">
        <v>6</v>
      </c>
      <c r="AA57" s="144"/>
      <c r="AB57" s="144"/>
      <c r="AC57" s="144"/>
      <c r="AD57" s="144"/>
      <c r="AE57" s="144"/>
      <c r="AF57" s="144"/>
      <c r="AG57" s="144"/>
      <c r="AH57" s="144"/>
      <c r="AI57" s="146">
        <f t="shared" si="28"/>
        <v>6</v>
      </c>
      <c r="AJ57" s="8"/>
      <c r="AK57" s="8"/>
      <c r="AL57" s="137"/>
      <c r="AM57" s="147">
        <f t="shared" si="1"/>
        <v>26</v>
      </c>
      <c r="AN57" s="144">
        <f t="shared" si="2"/>
        <v>2</v>
      </c>
      <c r="AO57" s="148">
        <f t="shared" si="3"/>
        <v>28</v>
      </c>
    </row>
    <row r="58" spans="1:42" ht="20.100000000000001" customHeight="1" x14ac:dyDescent="0.3">
      <c r="A58" s="104" t="s">
        <v>80</v>
      </c>
      <c r="B58" s="4" t="s">
        <v>85</v>
      </c>
      <c r="C58" s="143">
        <v>25</v>
      </c>
      <c r="D58" s="144"/>
      <c r="E58" s="145">
        <f t="shared" si="24"/>
        <v>25</v>
      </c>
      <c r="F58" s="144">
        <v>5</v>
      </c>
      <c r="G58" s="144">
        <v>3</v>
      </c>
      <c r="H58" s="144"/>
      <c r="I58" s="144"/>
      <c r="J58" s="144"/>
      <c r="K58" s="144">
        <v>1</v>
      </c>
      <c r="L58" s="146">
        <f t="shared" si="25"/>
        <v>9</v>
      </c>
      <c r="M58" s="144">
        <v>6</v>
      </c>
      <c r="N58" s="144">
        <v>4</v>
      </c>
      <c r="O58" s="144"/>
      <c r="P58" s="144"/>
      <c r="Q58" s="144"/>
      <c r="R58" s="144">
        <v>1</v>
      </c>
      <c r="S58" s="144"/>
      <c r="T58" s="144"/>
      <c r="U58" s="157" t="s">
        <v>39</v>
      </c>
      <c r="V58" s="146">
        <f t="shared" si="26"/>
        <v>11</v>
      </c>
      <c r="W58" s="144"/>
      <c r="X58" s="144"/>
      <c r="Y58" s="146">
        <f t="shared" si="27"/>
        <v>20</v>
      </c>
      <c r="Z58" s="144">
        <v>6</v>
      </c>
      <c r="AA58" s="144"/>
      <c r="AB58" s="144"/>
      <c r="AC58" s="144"/>
      <c r="AD58" s="144"/>
      <c r="AE58" s="144"/>
      <c r="AF58" s="144"/>
      <c r="AG58" s="144"/>
      <c r="AH58" s="144"/>
      <c r="AI58" s="146">
        <f t="shared" si="28"/>
        <v>6</v>
      </c>
      <c r="AJ58" s="8"/>
      <c r="AK58" s="8"/>
      <c r="AL58" s="137"/>
      <c r="AM58" s="147">
        <f t="shared" si="1"/>
        <v>25</v>
      </c>
      <c r="AN58" s="144">
        <f t="shared" si="2"/>
        <v>1</v>
      </c>
      <c r="AO58" s="148">
        <f t="shared" si="3"/>
        <v>26</v>
      </c>
    </row>
    <row r="59" spans="1:42" ht="20.100000000000001" customHeight="1" x14ac:dyDescent="0.3">
      <c r="A59" s="104" t="s">
        <v>80</v>
      </c>
      <c r="B59" s="4" t="s">
        <v>86</v>
      </c>
      <c r="C59" s="143">
        <v>69</v>
      </c>
      <c r="D59" s="144"/>
      <c r="E59" s="145">
        <f t="shared" si="24"/>
        <v>69</v>
      </c>
      <c r="F59" s="144">
        <v>12</v>
      </c>
      <c r="G59" s="144">
        <v>7</v>
      </c>
      <c r="H59" s="144"/>
      <c r="I59" s="144"/>
      <c r="J59" s="144"/>
      <c r="K59" s="144">
        <v>2</v>
      </c>
      <c r="L59" s="146">
        <f t="shared" si="25"/>
        <v>21</v>
      </c>
      <c r="M59" s="144">
        <v>14</v>
      </c>
      <c r="N59" s="144">
        <v>11</v>
      </c>
      <c r="O59" s="144"/>
      <c r="P59" s="144">
        <v>2</v>
      </c>
      <c r="Q59" s="144"/>
      <c r="R59" s="144">
        <v>3</v>
      </c>
      <c r="S59" s="144"/>
      <c r="T59" s="144"/>
      <c r="U59" s="157" t="s">
        <v>39</v>
      </c>
      <c r="V59" s="146">
        <f t="shared" si="26"/>
        <v>30</v>
      </c>
      <c r="W59" s="144"/>
      <c r="X59" s="144"/>
      <c r="Y59" s="146">
        <f t="shared" si="27"/>
        <v>51</v>
      </c>
      <c r="Z59" s="144">
        <v>21</v>
      </c>
      <c r="AA59" s="144"/>
      <c r="AB59" s="144"/>
      <c r="AC59" s="144"/>
      <c r="AD59" s="144"/>
      <c r="AE59" s="144"/>
      <c r="AF59" s="144"/>
      <c r="AG59" s="144"/>
      <c r="AH59" s="144"/>
      <c r="AI59" s="146">
        <f t="shared" si="28"/>
        <v>21</v>
      </c>
      <c r="AJ59" s="8"/>
      <c r="AK59" s="8"/>
      <c r="AL59" s="137"/>
      <c r="AM59" s="147">
        <f t="shared" si="1"/>
        <v>69</v>
      </c>
      <c r="AN59" s="144">
        <f t="shared" si="2"/>
        <v>3</v>
      </c>
      <c r="AO59" s="148">
        <f t="shared" si="3"/>
        <v>72</v>
      </c>
    </row>
    <row r="60" spans="1:42" s="155" customFormat="1" ht="20.100000000000001" customHeight="1" x14ac:dyDescent="0.3">
      <c r="A60" s="105" t="s">
        <v>36</v>
      </c>
      <c r="B60" s="7" t="s">
        <v>130</v>
      </c>
      <c r="C60" s="149">
        <f t="shared" ref="C60:AO60" si="29">SUM(C54:C59)</f>
        <v>198</v>
      </c>
      <c r="D60" s="114">
        <f t="shared" si="29"/>
        <v>0</v>
      </c>
      <c r="E60" s="114">
        <f t="shared" si="29"/>
        <v>198</v>
      </c>
      <c r="F60" s="150">
        <f t="shared" si="29"/>
        <v>33</v>
      </c>
      <c r="G60" s="150">
        <f t="shared" si="29"/>
        <v>19</v>
      </c>
      <c r="H60" s="150">
        <f t="shared" si="29"/>
        <v>0</v>
      </c>
      <c r="I60" s="150">
        <f t="shared" si="29"/>
        <v>0</v>
      </c>
      <c r="J60" s="150">
        <f t="shared" si="29"/>
        <v>0</v>
      </c>
      <c r="K60" s="150">
        <f t="shared" si="29"/>
        <v>7</v>
      </c>
      <c r="L60" s="150">
        <f t="shared" si="29"/>
        <v>59</v>
      </c>
      <c r="M60" s="150">
        <f t="shared" si="29"/>
        <v>53</v>
      </c>
      <c r="N60" s="150">
        <f t="shared" si="29"/>
        <v>31</v>
      </c>
      <c r="O60" s="150">
        <f t="shared" si="29"/>
        <v>0</v>
      </c>
      <c r="P60" s="150">
        <f t="shared" si="29"/>
        <v>6</v>
      </c>
      <c r="Q60" s="150">
        <f t="shared" si="29"/>
        <v>0</v>
      </c>
      <c r="R60" s="150">
        <f t="shared" si="29"/>
        <v>10</v>
      </c>
      <c r="S60" s="150">
        <f t="shared" si="29"/>
        <v>0</v>
      </c>
      <c r="T60" s="150">
        <f t="shared" si="29"/>
        <v>0</v>
      </c>
      <c r="U60" s="150">
        <f t="shared" si="29"/>
        <v>0</v>
      </c>
      <c r="V60" s="150">
        <f t="shared" si="29"/>
        <v>100</v>
      </c>
      <c r="W60" s="150">
        <f t="shared" si="29"/>
        <v>0</v>
      </c>
      <c r="X60" s="150">
        <f t="shared" si="29"/>
        <v>0</v>
      </c>
      <c r="Y60" s="150">
        <f t="shared" si="29"/>
        <v>159</v>
      </c>
      <c r="Z60" s="150">
        <f t="shared" si="29"/>
        <v>49</v>
      </c>
      <c r="AA60" s="150">
        <f t="shared" si="29"/>
        <v>0</v>
      </c>
      <c r="AB60" s="150">
        <f t="shared" si="29"/>
        <v>0</v>
      </c>
      <c r="AC60" s="150">
        <f t="shared" si="29"/>
        <v>0</v>
      </c>
      <c r="AD60" s="150">
        <f t="shared" si="29"/>
        <v>0</v>
      </c>
      <c r="AE60" s="150">
        <f t="shared" si="29"/>
        <v>0</v>
      </c>
      <c r="AF60" s="150">
        <f t="shared" si="29"/>
        <v>0</v>
      </c>
      <c r="AG60" s="150">
        <f t="shared" si="29"/>
        <v>0</v>
      </c>
      <c r="AH60" s="150">
        <f t="shared" si="29"/>
        <v>0</v>
      </c>
      <c r="AI60" s="150">
        <f t="shared" si="29"/>
        <v>49</v>
      </c>
      <c r="AJ60" s="150">
        <f t="shared" si="29"/>
        <v>0</v>
      </c>
      <c r="AK60" s="150">
        <f t="shared" si="29"/>
        <v>0</v>
      </c>
      <c r="AL60" s="151">
        <f t="shared" si="29"/>
        <v>0</v>
      </c>
      <c r="AM60" s="152">
        <f t="shared" si="29"/>
        <v>198</v>
      </c>
      <c r="AN60" s="150">
        <f t="shared" si="29"/>
        <v>10</v>
      </c>
      <c r="AO60" s="153">
        <f t="shared" si="29"/>
        <v>208</v>
      </c>
      <c r="AP60" s="154"/>
    </row>
    <row r="61" spans="1:42" ht="20.100000000000001" customHeight="1" x14ac:dyDescent="0.3">
      <c r="A61" s="104" t="s">
        <v>87</v>
      </c>
      <c r="B61" s="4" t="s">
        <v>88</v>
      </c>
      <c r="C61" s="143">
        <v>44</v>
      </c>
      <c r="D61" s="144"/>
      <c r="E61" s="145">
        <f>C61+D61</f>
        <v>44</v>
      </c>
      <c r="F61" s="144">
        <v>11</v>
      </c>
      <c r="G61" s="144">
        <v>5</v>
      </c>
      <c r="H61" s="144"/>
      <c r="I61" s="144"/>
      <c r="J61" s="144"/>
      <c r="K61" s="144">
        <v>2</v>
      </c>
      <c r="L61" s="146">
        <f>SUM(F61:K61)</f>
        <v>18</v>
      </c>
      <c r="M61" s="144">
        <v>11</v>
      </c>
      <c r="N61" s="144">
        <v>8</v>
      </c>
      <c r="O61" s="144"/>
      <c r="P61" s="144">
        <v>2</v>
      </c>
      <c r="Q61" s="144"/>
      <c r="R61" s="144">
        <v>3</v>
      </c>
      <c r="S61" s="144"/>
      <c r="T61" s="144">
        <v>2</v>
      </c>
      <c r="U61" s="157" t="s">
        <v>39</v>
      </c>
      <c r="V61" s="146">
        <f>SUM(M61:U61)</f>
        <v>26</v>
      </c>
      <c r="W61" s="144"/>
      <c r="X61" s="144"/>
      <c r="Y61" s="146">
        <f>SUM(F61:K61)+SUM(M61:U61)+SUM(W61:X61)</f>
        <v>44</v>
      </c>
      <c r="Z61" s="144"/>
      <c r="AA61" s="144"/>
      <c r="AB61" s="144"/>
      <c r="AC61" s="144">
        <v>5</v>
      </c>
      <c r="AD61" s="144"/>
      <c r="AE61" s="144"/>
      <c r="AF61" s="144"/>
      <c r="AG61" s="144"/>
      <c r="AH61" s="144"/>
      <c r="AI61" s="146">
        <f>SUM(Z61:AE61)</f>
        <v>5</v>
      </c>
      <c r="AJ61" s="8"/>
      <c r="AK61" s="8"/>
      <c r="AL61" s="137"/>
      <c r="AM61" s="147">
        <f t="shared" si="1"/>
        <v>44</v>
      </c>
      <c r="AN61" s="144">
        <f t="shared" si="2"/>
        <v>5</v>
      </c>
      <c r="AO61" s="148">
        <f t="shared" si="3"/>
        <v>49</v>
      </c>
    </row>
    <row r="62" spans="1:42" ht="20.100000000000001" customHeight="1" x14ac:dyDescent="0.3">
      <c r="A62" s="104" t="s">
        <v>87</v>
      </c>
      <c r="B62" s="4" t="s">
        <v>89</v>
      </c>
      <c r="C62" s="143">
        <v>96</v>
      </c>
      <c r="D62" s="144"/>
      <c r="E62" s="145">
        <f>C62+D62</f>
        <v>96</v>
      </c>
      <c r="F62" s="144">
        <v>16</v>
      </c>
      <c r="G62" s="144">
        <v>9</v>
      </c>
      <c r="H62" s="144"/>
      <c r="I62" s="144"/>
      <c r="J62" s="144"/>
      <c r="K62" s="144">
        <v>2</v>
      </c>
      <c r="L62" s="146">
        <f>SUM(F62:K62)</f>
        <v>27</v>
      </c>
      <c r="M62" s="144">
        <v>26</v>
      </c>
      <c r="N62" s="144">
        <v>17</v>
      </c>
      <c r="O62" s="144"/>
      <c r="P62" s="144"/>
      <c r="Q62" s="144"/>
      <c r="R62" s="144">
        <v>3</v>
      </c>
      <c r="S62" s="144"/>
      <c r="T62" s="144">
        <v>3</v>
      </c>
      <c r="U62" s="157" t="s">
        <v>39</v>
      </c>
      <c r="V62" s="146">
        <f>SUM(M62:U62)</f>
        <v>49</v>
      </c>
      <c r="W62" s="144"/>
      <c r="X62" s="144"/>
      <c r="Y62" s="146">
        <f>SUM(F62:K62)+SUM(M62:U62)+SUM(W62:X62)</f>
        <v>76</v>
      </c>
      <c r="Z62" s="144"/>
      <c r="AA62" s="144"/>
      <c r="AB62" s="144"/>
      <c r="AC62" s="144">
        <v>26</v>
      </c>
      <c r="AD62" s="144"/>
      <c r="AE62" s="144"/>
      <c r="AF62" s="144"/>
      <c r="AG62" s="144"/>
      <c r="AH62" s="144"/>
      <c r="AI62" s="146">
        <f>SUM(Z62:AE62)</f>
        <v>26</v>
      </c>
      <c r="AJ62" s="8"/>
      <c r="AK62" s="8"/>
      <c r="AL62" s="137"/>
      <c r="AM62" s="147">
        <f t="shared" si="1"/>
        <v>96</v>
      </c>
      <c r="AN62" s="144">
        <f t="shared" si="2"/>
        <v>6</v>
      </c>
      <c r="AO62" s="148">
        <f t="shared" si="3"/>
        <v>102</v>
      </c>
    </row>
    <row r="63" spans="1:42" ht="20.100000000000001" customHeight="1" x14ac:dyDescent="0.3">
      <c r="A63" s="104" t="s">
        <v>87</v>
      </c>
      <c r="B63" s="4" t="s">
        <v>90</v>
      </c>
      <c r="C63" s="143">
        <v>25</v>
      </c>
      <c r="D63" s="144"/>
      <c r="E63" s="145">
        <f>C63+D63</f>
        <v>25</v>
      </c>
      <c r="F63" s="144">
        <v>4</v>
      </c>
      <c r="G63" s="144">
        <v>3</v>
      </c>
      <c r="H63" s="144"/>
      <c r="I63" s="144"/>
      <c r="J63" s="144"/>
      <c r="K63" s="144">
        <v>1</v>
      </c>
      <c r="L63" s="146">
        <f>SUM(F63:K63)</f>
        <v>8</v>
      </c>
      <c r="M63" s="144">
        <v>7</v>
      </c>
      <c r="N63" s="144">
        <v>4</v>
      </c>
      <c r="O63" s="144"/>
      <c r="P63" s="144"/>
      <c r="Q63" s="144"/>
      <c r="R63" s="144">
        <v>1</v>
      </c>
      <c r="S63" s="144"/>
      <c r="T63" s="144">
        <v>2</v>
      </c>
      <c r="U63" s="157" t="s">
        <v>39</v>
      </c>
      <c r="V63" s="146">
        <f>SUM(M63:U63)</f>
        <v>14</v>
      </c>
      <c r="W63" s="144"/>
      <c r="X63" s="144"/>
      <c r="Y63" s="146">
        <f>SUM(F63:K63)+SUM(M63:U63)+SUM(W63:X63)</f>
        <v>22</v>
      </c>
      <c r="Z63" s="144"/>
      <c r="AA63" s="144"/>
      <c r="AB63" s="144"/>
      <c r="AC63" s="144">
        <v>6</v>
      </c>
      <c r="AD63" s="144"/>
      <c r="AE63" s="144"/>
      <c r="AF63" s="144"/>
      <c r="AG63" s="144"/>
      <c r="AH63" s="144"/>
      <c r="AI63" s="146">
        <f>SUM(Z63:AE63)</f>
        <v>6</v>
      </c>
      <c r="AJ63" s="8"/>
      <c r="AK63" s="8"/>
      <c r="AL63" s="137"/>
      <c r="AM63" s="147">
        <f t="shared" si="1"/>
        <v>25</v>
      </c>
      <c r="AN63" s="144">
        <f t="shared" si="2"/>
        <v>3</v>
      </c>
      <c r="AO63" s="148">
        <f t="shared" si="3"/>
        <v>28</v>
      </c>
    </row>
    <row r="64" spans="1:42" s="155" customFormat="1" ht="20.100000000000001" customHeight="1" x14ac:dyDescent="0.3">
      <c r="A64" s="105" t="s">
        <v>36</v>
      </c>
      <c r="B64" s="7" t="s">
        <v>131</v>
      </c>
      <c r="C64" s="149">
        <f t="shared" ref="C64:AO64" si="30">SUM(C61:C63)</f>
        <v>165</v>
      </c>
      <c r="D64" s="114">
        <f t="shared" si="30"/>
        <v>0</v>
      </c>
      <c r="E64" s="114">
        <f t="shared" si="30"/>
        <v>165</v>
      </c>
      <c r="F64" s="150">
        <f t="shared" si="30"/>
        <v>31</v>
      </c>
      <c r="G64" s="150">
        <f t="shared" si="30"/>
        <v>17</v>
      </c>
      <c r="H64" s="150">
        <f t="shared" si="30"/>
        <v>0</v>
      </c>
      <c r="I64" s="150">
        <f t="shared" si="30"/>
        <v>0</v>
      </c>
      <c r="J64" s="150">
        <f t="shared" si="30"/>
        <v>0</v>
      </c>
      <c r="K64" s="150">
        <f t="shared" si="30"/>
        <v>5</v>
      </c>
      <c r="L64" s="150">
        <f t="shared" si="30"/>
        <v>53</v>
      </c>
      <c r="M64" s="150">
        <f t="shared" si="30"/>
        <v>44</v>
      </c>
      <c r="N64" s="150">
        <f t="shared" si="30"/>
        <v>29</v>
      </c>
      <c r="O64" s="150">
        <f t="shared" si="30"/>
        <v>0</v>
      </c>
      <c r="P64" s="150">
        <f t="shared" si="30"/>
        <v>2</v>
      </c>
      <c r="Q64" s="150">
        <f t="shared" si="30"/>
        <v>0</v>
      </c>
      <c r="R64" s="150">
        <f t="shared" si="30"/>
        <v>7</v>
      </c>
      <c r="S64" s="150">
        <f t="shared" si="30"/>
        <v>0</v>
      </c>
      <c r="T64" s="150">
        <f t="shared" si="30"/>
        <v>7</v>
      </c>
      <c r="U64" s="150">
        <f t="shared" si="30"/>
        <v>0</v>
      </c>
      <c r="V64" s="150">
        <f t="shared" si="30"/>
        <v>89</v>
      </c>
      <c r="W64" s="150">
        <f t="shared" si="30"/>
        <v>0</v>
      </c>
      <c r="X64" s="150">
        <f t="shared" si="30"/>
        <v>0</v>
      </c>
      <c r="Y64" s="150">
        <f t="shared" si="30"/>
        <v>142</v>
      </c>
      <c r="Z64" s="150">
        <f t="shared" si="30"/>
        <v>0</v>
      </c>
      <c r="AA64" s="150">
        <f t="shared" si="30"/>
        <v>0</v>
      </c>
      <c r="AB64" s="150">
        <f t="shared" si="30"/>
        <v>0</v>
      </c>
      <c r="AC64" s="150">
        <f t="shared" si="30"/>
        <v>37</v>
      </c>
      <c r="AD64" s="150">
        <f t="shared" si="30"/>
        <v>0</v>
      </c>
      <c r="AE64" s="150">
        <f t="shared" si="30"/>
        <v>0</v>
      </c>
      <c r="AF64" s="150">
        <f t="shared" si="30"/>
        <v>0</v>
      </c>
      <c r="AG64" s="150">
        <f t="shared" si="30"/>
        <v>0</v>
      </c>
      <c r="AH64" s="150">
        <f t="shared" si="30"/>
        <v>0</v>
      </c>
      <c r="AI64" s="150">
        <f t="shared" si="30"/>
        <v>37</v>
      </c>
      <c r="AJ64" s="150">
        <f t="shared" si="30"/>
        <v>0</v>
      </c>
      <c r="AK64" s="150">
        <f t="shared" si="30"/>
        <v>0</v>
      </c>
      <c r="AL64" s="151">
        <f t="shared" si="30"/>
        <v>0</v>
      </c>
      <c r="AM64" s="152">
        <f t="shared" si="30"/>
        <v>165</v>
      </c>
      <c r="AN64" s="150">
        <f t="shared" si="30"/>
        <v>14</v>
      </c>
      <c r="AO64" s="153">
        <f t="shared" si="30"/>
        <v>179</v>
      </c>
      <c r="AP64" s="154"/>
    </row>
    <row r="65" spans="1:42" ht="20.100000000000001" customHeight="1" x14ac:dyDescent="0.3">
      <c r="A65" s="104" t="s">
        <v>91</v>
      </c>
      <c r="B65" s="4" t="s">
        <v>92</v>
      </c>
      <c r="C65" s="143">
        <v>40</v>
      </c>
      <c r="D65" s="144"/>
      <c r="E65" s="145">
        <f>C65+D65</f>
        <v>40</v>
      </c>
      <c r="F65" s="144">
        <v>5</v>
      </c>
      <c r="G65" s="145"/>
      <c r="H65" s="145"/>
      <c r="I65" s="145"/>
      <c r="J65" s="145"/>
      <c r="K65" s="145"/>
      <c r="L65" s="146">
        <f>SUM(F65:K65)</f>
        <v>5</v>
      </c>
      <c r="M65" s="8">
        <v>15</v>
      </c>
      <c r="N65" s="145">
        <v>10</v>
      </c>
      <c r="O65" s="145"/>
      <c r="P65" s="145"/>
      <c r="Q65" s="145"/>
      <c r="R65" s="144">
        <v>1</v>
      </c>
      <c r="S65" s="145"/>
      <c r="T65" s="145"/>
      <c r="U65" s="145"/>
      <c r="V65" s="146">
        <f>SUM(M65:U65)</f>
        <v>26</v>
      </c>
      <c r="W65" s="145"/>
      <c r="X65" s="145"/>
      <c r="Y65" s="146">
        <f>SUM(F65:K65)+SUM(M65:U65)+SUM(W65:X65)</f>
        <v>31</v>
      </c>
      <c r="Z65" s="8">
        <v>10</v>
      </c>
      <c r="AA65" s="144"/>
      <c r="AB65" s="145"/>
      <c r="AC65" s="145"/>
      <c r="AD65" s="145"/>
      <c r="AE65" s="145"/>
      <c r="AF65" s="145"/>
      <c r="AG65" s="145"/>
      <c r="AH65" s="145"/>
      <c r="AI65" s="146">
        <f>SUM(Z65:AE65)</f>
        <v>10</v>
      </c>
      <c r="AJ65" s="8"/>
      <c r="AK65" s="8"/>
      <c r="AL65" s="137"/>
      <c r="AM65" s="147">
        <f t="shared" si="1"/>
        <v>40</v>
      </c>
      <c r="AN65" s="145">
        <f t="shared" si="2"/>
        <v>1</v>
      </c>
      <c r="AO65" s="148">
        <f t="shared" si="3"/>
        <v>41</v>
      </c>
    </row>
    <row r="66" spans="1:42" s="155" customFormat="1" ht="20.100000000000001" customHeight="1" x14ac:dyDescent="0.3">
      <c r="A66" s="105" t="s">
        <v>36</v>
      </c>
      <c r="B66" s="7" t="s">
        <v>132</v>
      </c>
      <c r="C66" s="149">
        <f t="shared" ref="C66:AO66" si="31">SUM(C65)</f>
        <v>40</v>
      </c>
      <c r="D66" s="114">
        <f t="shared" si="31"/>
        <v>0</v>
      </c>
      <c r="E66" s="114">
        <f t="shared" si="31"/>
        <v>40</v>
      </c>
      <c r="F66" s="150">
        <f t="shared" si="31"/>
        <v>5</v>
      </c>
      <c r="G66" s="150">
        <f t="shared" si="31"/>
        <v>0</v>
      </c>
      <c r="H66" s="150">
        <f t="shared" si="31"/>
        <v>0</v>
      </c>
      <c r="I66" s="150">
        <f t="shared" si="31"/>
        <v>0</v>
      </c>
      <c r="J66" s="150">
        <f t="shared" si="31"/>
        <v>0</v>
      </c>
      <c r="K66" s="150">
        <f t="shared" si="31"/>
        <v>0</v>
      </c>
      <c r="L66" s="150">
        <f t="shared" si="31"/>
        <v>5</v>
      </c>
      <c r="M66" s="150">
        <f t="shared" si="31"/>
        <v>15</v>
      </c>
      <c r="N66" s="150">
        <f t="shared" si="31"/>
        <v>10</v>
      </c>
      <c r="O66" s="150">
        <f t="shared" si="31"/>
        <v>0</v>
      </c>
      <c r="P66" s="150">
        <f t="shared" si="31"/>
        <v>0</v>
      </c>
      <c r="Q66" s="150">
        <f t="shared" si="31"/>
        <v>0</v>
      </c>
      <c r="R66" s="150">
        <f t="shared" si="31"/>
        <v>1</v>
      </c>
      <c r="S66" s="150">
        <f t="shared" si="31"/>
        <v>0</v>
      </c>
      <c r="T66" s="150">
        <f t="shared" si="31"/>
        <v>0</v>
      </c>
      <c r="U66" s="150">
        <f t="shared" si="31"/>
        <v>0</v>
      </c>
      <c r="V66" s="150">
        <f t="shared" si="31"/>
        <v>26</v>
      </c>
      <c r="W66" s="150">
        <f t="shared" si="31"/>
        <v>0</v>
      </c>
      <c r="X66" s="150">
        <f t="shared" si="31"/>
        <v>0</v>
      </c>
      <c r="Y66" s="150">
        <f t="shared" si="31"/>
        <v>31</v>
      </c>
      <c r="Z66" s="150">
        <f t="shared" si="31"/>
        <v>10</v>
      </c>
      <c r="AA66" s="150">
        <f t="shared" si="31"/>
        <v>0</v>
      </c>
      <c r="AB66" s="150">
        <f t="shared" si="31"/>
        <v>0</v>
      </c>
      <c r="AC66" s="150">
        <f t="shared" si="31"/>
        <v>0</v>
      </c>
      <c r="AD66" s="150">
        <f t="shared" si="31"/>
        <v>0</v>
      </c>
      <c r="AE66" s="150">
        <f t="shared" si="31"/>
        <v>0</v>
      </c>
      <c r="AF66" s="150">
        <f t="shared" si="31"/>
        <v>0</v>
      </c>
      <c r="AG66" s="150">
        <f t="shared" si="31"/>
        <v>0</v>
      </c>
      <c r="AH66" s="150">
        <f t="shared" si="31"/>
        <v>0</v>
      </c>
      <c r="AI66" s="150">
        <f t="shared" si="31"/>
        <v>10</v>
      </c>
      <c r="AJ66" s="150">
        <f t="shared" si="31"/>
        <v>0</v>
      </c>
      <c r="AK66" s="150">
        <f t="shared" si="31"/>
        <v>0</v>
      </c>
      <c r="AL66" s="151">
        <f t="shared" si="31"/>
        <v>0</v>
      </c>
      <c r="AM66" s="152">
        <f t="shared" si="31"/>
        <v>40</v>
      </c>
      <c r="AN66" s="150">
        <f t="shared" si="31"/>
        <v>1</v>
      </c>
      <c r="AO66" s="153">
        <f t="shared" si="31"/>
        <v>41</v>
      </c>
      <c r="AP66" s="154"/>
    </row>
    <row r="67" spans="1:42" ht="20.100000000000001" customHeight="1" x14ac:dyDescent="0.3">
      <c r="A67" s="104" t="s">
        <v>95</v>
      </c>
      <c r="B67" s="4" t="s">
        <v>96</v>
      </c>
      <c r="C67" s="143">
        <v>50</v>
      </c>
      <c r="D67" s="144"/>
      <c r="E67" s="145">
        <f>C67+D67</f>
        <v>50</v>
      </c>
      <c r="F67" s="144"/>
      <c r="G67" s="144">
        <v>9</v>
      </c>
      <c r="H67" s="144"/>
      <c r="I67" s="144"/>
      <c r="J67" s="144"/>
      <c r="K67" s="144"/>
      <c r="L67" s="146">
        <f>SUM(F67:K67)</f>
        <v>9</v>
      </c>
      <c r="M67" s="144">
        <v>13</v>
      </c>
      <c r="N67" s="144">
        <v>15</v>
      </c>
      <c r="O67" s="144">
        <v>1</v>
      </c>
      <c r="P67" s="144"/>
      <c r="Q67" s="144"/>
      <c r="R67" s="144"/>
      <c r="S67" s="144">
        <v>4</v>
      </c>
      <c r="T67" s="144"/>
      <c r="U67" s="144"/>
      <c r="V67" s="146">
        <f>SUM(M67:U67)</f>
        <v>33</v>
      </c>
      <c r="W67" s="144"/>
      <c r="X67" s="144"/>
      <c r="Y67" s="146">
        <f>SUM(F67:K67)+SUM(M67:U67)+SUM(W67:X67)</f>
        <v>42</v>
      </c>
      <c r="Z67" s="8">
        <v>9</v>
      </c>
      <c r="AA67" s="8">
        <v>3</v>
      </c>
      <c r="AB67" s="144"/>
      <c r="AC67" s="144"/>
      <c r="AD67" s="144"/>
      <c r="AE67" s="144"/>
      <c r="AF67" s="144"/>
      <c r="AG67" s="144"/>
      <c r="AH67" s="144"/>
      <c r="AI67" s="146">
        <f>SUM(Z67:AE67)</f>
        <v>12</v>
      </c>
      <c r="AJ67" s="8"/>
      <c r="AK67" s="8"/>
      <c r="AL67" s="137"/>
      <c r="AM67" s="147">
        <f t="shared" si="1"/>
        <v>50</v>
      </c>
      <c r="AN67" s="145">
        <f t="shared" si="2"/>
        <v>4</v>
      </c>
      <c r="AO67" s="148">
        <f t="shared" si="3"/>
        <v>54</v>
      </c>
    </row>
    <row r="68" spans="1:42" s="155" customFormat="1" ht="20.100000000000001" customHeight="1" x14ac:dyDescent="0.3">
      <c r="A68" s="105" t="s">
        <v>36</v>
      </c>
      <c r="B68" s="7" t="s">
        <v>134</v>
      </c>
      <c r="C68" s="149">
        <f t="shared" ref="C68:AO68" si="32">SUM(C67)</f>
        <v>50</v>
      </c>
      <c r="D68" s="114">
        <f t="shared" si="32"/>
        <v>0</v>
      </c>
      <c r="E68" s="114">
        <f t="shared" si="32"/>
        <v>50</v>
      </c>
      <c r="F68" s="150">
        <f t="shared" si="32"/>
        <v>0</v>
      </c>
      <c r="G68" s="150">
        <f t="shared" si="32"/>
        <v>9</v>
      </c>
      <c r="H68" s="150">
        <f t="shared" si="32"/>
        <v>0</v>
      </c>
      <c r="I68" s="150">
        <f t="shared" si="32"/>
        <v>0</v>
      </c>
      <c r="J68" s="150">
        <f t="shared" si="32"/>
        <v>0</v>
      </c>
      <c r="K68" s="150">
        <f t="shared" si="32"/>
        <v>0</v>
      </c>
      <c r="L68" s="150">
        <f t="shared" si="32"/>
        <v>9</v>
      </c>
      <c r="M68" s="150">
        <f t="shared" si="32"/>
        <v>13</v>
      </c>
      <c r="N68" s="150">
        <f t="shared" si="32"/>
        <v>15</v>
      </c>
      <c r="O68" s="150">
        <f t="shared" si="32"/>
        <v>1</v>
      </c>
      <c r="P68" s="150">
        <f t="shared" si="32"/>
        <v>0</v>
      </c>
      <c r="Q68" s="150">
        <f t="shared" si="32"/>
        <v>0</v>
      </c>
      <c r="R68" s="150">
        <f t="shared" si="32"/>
        <v>0</v>
      </c>
      <c r="S68" s="150">
        <f t="shared" si="32"/>
        <v>4</v>
      </c>
      <c r="T68" s="150">
        <f t="shared" si="32"/>
        <v>0</v>
      </c>
      <c r="U68" s="150">
        <f t="shared" si="32"/>
        <v>0</v>
      </c>
      <c r="V68" s="150">
        <f t="shared" si="32"/>
        <v>33</v>
      </c>
      <c r="W68" s="150">
        <f t="shared" si="32"/>
        <v>0</v>
      </c>
      <c r="X68" s="150">
        <f t="shared" si="32"/>
        <v>0</v>
      </c>
      <c r="Y68" s="150">
        <f t="shared" si="32"/>
        <v>42</v>
      </c>
      <c r="Z68" s="150">
        <f t="shared" si="32"/>
        <v>9</v>
      </c>
      <c r="AA68" s="150">
        <f t="shared" si="32"/>
        <v>3</v>
      </c>
      <c r="AB68" s="150">
        <f t="shared" si="32"/>
        <v>0</v>
      </c>
      <c r="AC68" s="150">
        <f t="shared" si="32"/>
        <v>0</v>
      </c>
      <c r="AD68" s="150">
        <f t="shared" si="32"/>
        <v>0</v>
      </c>
      <c r="AE68" s="150">
        <f t="shared" si="32"/>
        <v>0</v>
      </c>
      <c r="AF68" s="150">
        <f t="shared" si="32"/>
        <v>0</v>
      </c>
      <c r="AG68" s="150">
        <f t="shared" si="32"/>
        <v>0</v>
      </c>
      <c r="AH68" s="150">
        <f t="shared" si="32"/>
        <v>0</v>
      </c>
      <c r="AI68" s="150">
        <f t="shared" si="32"/>
        <v>12</v>
      </c>
      <c r="AJ68" s="150">
        <f t="shared" si="32"/>
        <v>0</v>
      </c>
      <c r="AK68" s="150">
        <f t="shared" si="32"/>
        <v>0</v>
      </c>
      <c r="AL68" s="151">
        <f t="shared" si="32"/>
        <v>0</v>
      </c>
      <c r="AM68" s="152">
        <f t="shared" si="32"/>
        <v>50</v>
      </c>
      <c r="AN68" s="150">
        <f t="shared" si="32"/>
        <v>4</v>
      </c>
      <c r="AO68" s="153">
        <f t="shared" si="32"/>
        <v>54</v>
      </c>
      <c r="AP68" s="154"/>
    </row>
    <row r="69" spans="1:42" ht="20.100000000000001" customHeight="1" x14ac:dyDescent="0.3">
      <c r="A69" s="104" t="s">
        <v>93</v>
      </c>
      <c r="B69" s="4" t="s">
        <v>94</v>
      </c>
      <c r="C69" s="143">
        <v>132</v>
      </c>
      <c r="D69" s="144"/>
      <c r="E69" s="145">
        <f>C69+D69</f>
        <v>132</v>
      </c>
      <c r="F69" s="145"/>
      <c r="G69" s="8">
        <v>20</v>
      </c>
      <c r="H69" s="8">
        <v>30</v>
      </c>
      <c r="I69" s="8"/>
      <c r="J69" s="145"/>
      <c r="K69" s="145"/>
      <c r="L69" s="146">
        <f>SUM(F69:K69)</f>
        <v>50</v>
      </c>
      <c r="M69" s="8">
        <v>20</v>
      </c>
      <c r="N69" s="8">
        <v>32</v>
      </c>
      <c r="O69" s="8">
        <v>3</v>
      </c>
      <c r="P69" s="145"/>
      <c r="Q69" s="145"/>
      <c r="R69" s="145"/>
      <c r="S69" s="145"/>
      <c r="T69" s="145"/>
      <c r="U69" s="145"/>
      <c r="V69" s="146">
        <f>SUM(M69:U69)</f>
        <v>55</v>
      </c>
      <c r="W69" s="145"/>
      <c r="X69" s="145"/>
      <c r="Y69" s="146">
        <f>SUM(F69:K69)+SUM(M69:U69)+SUM(W69:X69)</f>
        <v>105</v>
      </c>
      <c r="Z69" s="8">
        <v>13</v>
      </c>
      <c r="AA69" s="8">
        <v>14</v>
      </c>
      <c r="AB69" s="145"/>
      <c r="AC69" s="145"/>
      <c r="AD69" s="145"/>
      <c r="AE69" s="145"/>
      <c r="AF69" s="145"/>
      <c r="AG69" s="145"/>
      <c r="AH69" s="145"/>
      <c r="AI69" s="146">
        <f>SUM(Z69:AE69)</f>
        <v>27</v>
      </c>
      <c r="AJ69" s="8"/>
      <c r="AK69" s="8"/>
      <c r="AL69" s="137"/>
      <c r="AM69" s="147">
        <f t="shared" ref="AM69:AM91" si="33">SUM(F69:K69)+SUM(M69:Q69)+SUM(W69:X69)+SUM(Z69:AH69)+AJ69</f>
        <v>132</v>
      </c>
      <c r="AN69" s="145">
        <f t="shared" ref="AN69:AN91" si="34">SUM(R69:U69)+SUM(AK69:AL69)</f>
        <v>0</v>
      </c>
      <c r="AO69" s="148">
        <f>AM69+AN69</f>
        <v>132</v>
      </c>
    </row>
    <row r="70" spans="1:42" s="155" customFormat="1" ht="20.100000000000001" customHeight="1" x14ac:dyDescent="0.3">
      <c r="A70" s="105" t="s">
        <v>36</v>
      </c>
      <c r="B70" s="7" t="s">
        <v>133</v>
      </c>
      <c r="C70" s="149">
        <f t="shared" ref="C70:AO70" si="35">SUM(C69)</f>
        <v>132</v>
      </c>
      <c r="D70" s="114">
        <f t="shared" si="35"/>
        <v>0</v>
      </c>
      <c r="E70" s="114">
        <f t="shared" si="35"/>
        <v>132</v>
      </c>
      <c r="F70" s="150">
        <f t="shared" si="35"/>
        <v>0</v>
      </c>
      <c r="G70" s="150">
        <f t="shared" si="35"/>
        <v>20</v>
      </c>
      <c r="H70" s="150">
        <f t="shared" si="35"/>
        <v>30</v>
      </c>
      <c r="I70" s="150">
        <f t="shared" si="35"/>
        <v>0</v>
      </c>
      <c r="J70" s="150">
        <f t="shared" si="35"/>
        <v>0</v>
      </c>
      <c r="K70" s="150">
        <f t="shared" si="35"/>
        <v>0</v>
      </c>
      <c r="L70" s="150">
        <f t="shared" si="35"/>
        <v>50</v>
      </c>
      <c r="M70" s="150">
        <f t="shared" si="35"/>
        <v>20</v>
      </c>
      <c r="N70" s="150">
        <f t="shared" si="35"/>
        <v>32</v>
      </c>
      <c r="O70" s="150">
        <f t="shared" si="35"/>
        <v>3</v>
      </c>
      <c r="P70" s="150">
        <f t="shared" si="35"/>
        <v>0</v>
      </c>
      <c r="Q70" s="150">
        <f t="shared" si="35"/>
        <v>0</v>
      </c>
      <c r="R70" s="150">
        <f t="shared" si="35"/>
        <v>0</v>
      </c>
      <c r="S70" s="150">
        <f t="shared" si="35"/>
        <v>0</v>
      </c>
      <c r="T70" s="150">
        <f t="shared" si="35"/>
        <v>0</v>
      </c>
      <c r="U70" s="150">
        <f t="shared" si="35"/>
        <v>0</v>
      </c>
      <c r="V70" s="150">
        <f t="shared" si="35"/>
        <v>55</v>
      </c>
      <c r="W70" s="150">
        <f t="shared" si="35"/>
        <v>0</v>
      </c>
      <c r="X70" s="150">
        <f t="shared" si="35"/>
        <v>0</v>
      </c>
      <c r="Y70" s="150">
        <f t="shared" si="35"/>
        <v>105</v>
      </c>
      <c r="Z70" s="150">
        <f t="shared" si="35"/>
        <v>13</v>
      </c>
      <c r="AA70" s="150">
        <f t="shared" si="35"/>
        <v>14</v>
      </c>
      <c r="AB70" s="150">
        <f t="shared" si="35"/>
        <v>0</v>
      </c>
      <c r="AC70" s="150">
        <f t="shared" si="35"/>
        <v>0</v>
      </c>
      <c r="AD70" s="150">
        <f t="shared" si="35"/>
        <v>0</v>
      </c>
      <c r="AE70" s="150">
        <f t="shared" si="35"/>
        <v>0</v>
      </c>
      <c r="AF70" s="150">
        <f t="shared" si="35"/>
        <v>0</v>
      </c>
      <c r="AG70" s="150">
        <f t="shared" si="35"/>
        <v>0</v>
      </c>
      <c r="AH70" s="150">
        <f t="shared" si="35"/>
        <v>0</v>
      </c>
      <c r="AI70" s="150">
        <f t="shared" si="35"/>
        <v>27</v>
      </c>
      <c r="AJ70" s="150">
        <f t="shared" si="35"/>
        <v>0</v>
      </c>
      <c r="AK70" s="150">
        <f t="shared" si="35"/>
        <v>0</v>
      </c>
      <c r="AL70" s="151">
        <f t="shared" si="35"/>
        <v>0</v>
      </c>
      <c r="AM70" s="152">
        <f t="shared" si="35"/>
        <v>132</v>
      </c>
      <c r="AN70" s="150">
        <f t="shared" si="35"/>
        <v>0</v>
      </c>
      <c r="AO70" s="153">
        <f t="shared" si="35"/>
        <v>132</v>
      </c>
      <c r="AP70" s="154"/>
    </row>
    <row r="71" spans="1:42" ht="20.100000000000001" customHeight="1" x14ac:dyDescent="0.3">
      <c r="A71" s="104" t="s">
        <v>97</v>
      </c>
      <c r="B71" s="4" t="s">
        <v>98</v>
      </c>
      <c r="C71" s="143">
        <v>25</v>
      </c>
      <c r="D71" s="144"/>
      <c r="E71" s="145">
        <f>C71+D71</f>
        <v>25</v>
      </c>
      <c r="F71" s="145">
        <v>5</v>
      </c>
      <c r="G71" s="145">
        <v>3</v>
      </c>
      <c r="H71" s="145"/>
      <c r="I71" s="145"/>
      <c r="J71" s="145"/>
      <c r="K71" s="145">
        <v>1</v>
      </c>
      <c r="L71" s="146">
        <f>SUM(F71:K71)</f>
        <v>9</v>
      </c>
      <c r="M71" s="145">
        <v>7</v>
      </c>
      <c r="N71" s="145">
        <v>4</v>
      </c>
      <c r="O71" s="145"/>
      <c r="P71" s="145"/>
      <c r="Q71" s="145"/>
      <c r="R71" s="145">
        <v>2</v>
      </c>
      <c r="S71" s="145"/>
      <c r="T71" s="145"/>
      <c r="U71" s="159" t="s">
        <v>39</v>
      </c>
      <c r="V71" s="146">
        <f>SUM(M71:U71)</f>
        <v>13</v>
      </c>
      <c r="W71" s="145"/>
      <c r="X71" s="145"/>
      <c r="Y71" s="146">
        <f>SUM(F71:K71)+SUM(M71:U71)+SUM(W71:X71)</f>
        <v>22</v>
      </c>
      <c r="Z71" s="145">
        <v>5</v>
      </c>
      <c r="AA71" s="145"/>
      <c r="AB71" s="145"/>
      <c r="AC71" s="145"/>
      <c r="AD71" s="145"/>
      <c r="AE71" s="145"/>
      <c r="AF71" s="145"/>
      <c r="AG71" s="145"/>
      <c r="AH71" s="145"/>
      <c r="AI71" s="146">
        <f>SUM(Z71:AE71)</f>
        <v>5</v>
      </c>
      <c r="AJ71" s="8"/>
      <c r="AK71" s="8"/>
      <c r="AL71" s="137"/>
      <c r="AM71" s="147">
        <f t="shared" si="33"/>
        <v>25</v>
      </c>
      <c r="AN71" s="145">
        <f t="shared" si="34"/>
        <v>2</v>
      </c>
      <c r="AO71" s="148">
        <f t="shared" si="3"/>
        <v>27</v>
      </c>
    </row>
    <row r="72" spans="1:42" ht="20.100000000000001" customHeight="1" x14ac:dyDescent="0.3">
      <c r="A72" s="104" t="s">
        <v>97</v>
      </c>
      <c r="B72" s="4" t="s">
        <v>99</v>
      </c>
      <c r="C72" s="143">
        <v>26</v>
      </c>
      <c r="D72" s="144"/>
      <c r="E72" s="145">
        <f>C72+D72</f>
        <v>26</v>
      </c>
      <c r="F72" s="145">
        <v>6</v>
      </c>
      <c r="G72" s="145">
        <v>3</v>
      </c>
      <c r="H72" s="145"/>
      <c r="I72" s="145"/>
      <c r="J72" s="145"/>
      <c r="K72" s="145">
        <v>1</v>
      </c>
      <c r="L72" s="146">
        <f>SUM(F72:K72)</f>
        <v>10</v>
      </c>
      <c r="M72" s="145">
        <v>7</v>
      </c>
      <c r="N72" s="145">
        <v>4</v>
      </c>
      <c r="O72" s="145"/>
      <c r="P72" s="145"/>
      <c r="Q72" s="145"/>
      <c r="R72" s="145">
        <v>2</v>
      </c>
      <c r="S72" s="145"/>
      <c r="T72" s="145"/>
      <c r="U72" s="159" t="s">
        <v>39</v>
      </c>
      <c r="V72" s="146">
        <f>SUM(M72:U72)</f>
        <v>13</v>
      </c>
      <c r="W72" s="145"/>
      <c r="X72" s="145"/>
      <c r="Y72" s="146">
        <f>SUM(F72:K72)+SUM(M72:U72)+SUM(W72:X72)</f>
        <v>23</v>
      </c>
      <c r="Z72" s="145">
        <v>5</v>
      </c>
      <c r="AA72" s="145"/>
      <c r="AB72" s="145"/>
      <c r="AC72" s="145"/>
      <c r="AD72" s="145"/>
      <c r="AE72" s="145"/>
      <c r="AF72" s="145"/>
      <c r="AG72" s="145"/>
      <c r="AH72" s="145"/>
      <c r="AI72" s="146">
        <f>SUM(Z72:AE72)</f>
        <v>5</v>
      </c>
      <c r="AJ72" s="8"/>
      <c r="AK72" s="8"/>
      <c r="AL72" s="137"/>
      <c r="AM72" s="147">
        <f t="shared" si="33"/>
        <v>26</v>
      </c>
      <c r="AN72" s="145">
        <f t="shared" si="34"/>
        <v>2</v>
      </c>
      <c r="AO72" s="148">
        <f t="shared" si="3"/>
        <v>28</v>
      </c>
    </row>
    <row r="73" spans="1:42" ht="20.100000000000001" customHeight="1" x14ac:dyDescent="0.3">
      <c r="A73" s="104" t="s">
        <v>97</v>
      </c>
      <c r="B73" s="4" t="s">
        <v>100</v>
      </c>
      <c r="C73" s="143">
        <v>23</v>
      </c>
      <c r="D73" s="144"/>
      <c r="E73" s="145">
        <f>C73+D73</f>
        <v>23</v>
      </c>
      <c r="F73" s="144">
        <v>5</v>
      </c>
      <c r="G73" s="144">
        <v>3</v>
      </c>
      <c r="H73" s="145"/>
      <c r="I73" s="145"/>
      <c r="J73" s="145"/>
      <c r="K73" s="145">
        <v>1</v>
      </c>
      <c r="L73" s="146">
        <f>SUM(F73:K73)</f>
        <v>9</v>
      </c>
      <c r="M73" s="145">
        <v>6</v>
      </c>
      <c r="N73" s="8">
        <v>4</v>
      </c>
      <c r="O73" s="145"/>
      <c r="P73" s="145"/>
      <c r="Q73" s="145"/>
      <c r="R73" s="145">
        <v>2</v>
      </c>
      <c r="S73" s="145"/>
      <c r="T73" s="145"/>
      <c r="U73" s="159" t="s">
        <v>39</v>
      </c>
      <c r="V73" s="146">
        <f>SUM(M73:U73)</f>
        <v>12</v>
      </c>
      <c r="W73" s="145"/>
      <c r="X73" s="145"/>
      <c r="Y73" s="146">
        <f>SUM(F73:K73)+SUM(M73:U73)+SUM(W73:X73)</f>
        <v>21</v>
      </c>
      <c r="Z73" s="145">
        <v>4</v>
      </c>
      <c r="AA73" s="145"/>
      <c r="AB73" s="145"/>
      <c r="AC73" s="145"/>
      <c r="AD73" s="145"/>
      <c r="AE73" s="145"/>
      <c r="AF73" s="145"/>
      <c r="AG73" s="145"/>
      <c r="AH73" s="145"/>
      <c r="AI73" s="146">
        <f>SUM(Z73:AE73)</f>
        <v>4</v>
      </c>
      <c r="AJ73" s="8"/>
      <c r="AK73" s="8"/>
      <c r="AL73" s="137"/>
      <c r="AM73" s="147">
        <f t="shared" si="33"/>
        <v>23</v>
      </c>
      <c r="AN73" s="145">
        <f t="shared" si="34"/>
        <v>2</v>
      </c>
      <c r="AO73" s="148">
        <f t="shared" si="3"/>
        <v>25</v>
      </c>
    </row>
    <row r="74" spans="1:42" ht="20.100000000000001" customHeight="1" x14ac:dyDescent="0.3">
      <c r="A74" s="104" t="s">
        <v>97</v>
      </c>
      <c r="B74" s="4" t="s">
        <v>101</v>
      </c>
      <c r="C74" s="143">
        <v>59</v>
      </c>
      <c r="D74" s="144"/>
      <c r="E74" s="145">
        <f>C74+D74</f>
        <v>59</v>
      </c>
      <c r="F74" s="144">
        <v>10</v>
      </c>
      <c r="G74" s="144">
        <v>7</v>
      </c>
      <c r="H74" s="145"/>
      <c r="I74" s="145"/>
      <c r="J74" s="145"/>
      <c r="K74" s="145">
        <v>1</v>
      </c>
      <c r="L74" s="146">
        <f>SUM(F74:K74)</f>
        <v>18</v>
      </c>
      <c r="M74" s="145">
        <v>14</v>
      </c>
      <c r="N74" s="145">
        <v>10</v>
      </c>
      <c r="O74" s="145"/>
      <c r="P74" s="145">
        <v>2</v>
      </c>
      <c r="Q74" s="145"/>
      <c r="R74" s="145">
        <v>2</v>
      </c>
      <c r="S74" s="145"/>
      <c r="T74" s="145"/>
      <c r="U74" s="159" t="s">
        <v>39</v>
      </c>
      <c r="V74" s="146">
        <f>SUM(M74:U74)</f>
        <v>28</v>
      </c>
      <c r="W74" s="145"/>
      <c r="X74" s="145"/>
      <c r="Y74" s="146">
        <f>SUM(F74:K74)+SUM(M74:U74)+SUM(W74:X74)</f>
        <v>46</v>
      </c>
      <c r="Z74" s="145">
        <v>15</v>
      </c>
      <c r="AA74" s="145"/>
      <c r="AB74" s="145"/>
      <c r="AC74" s="145"/>
      <c r="AD74" s="145"/>
      <c r="AE74" s="145"/>
      <c r="AF74" s="145"/>
      <c r="AG74" s="145"/>
      <c r="AH74" s="145"/>
      <c r="AI74" s="146">
        <f>SUM(Z74:AE74)</f>
        <v>15</v>
      </c>
      <c r="AJ74" s="8"/>
      <c r="AK74" s="8"/>
      <c r="AL74" s="137"/>
      <c r="AM74" s="147">
        <f t="shared" si="33"/>
        <v>59</v>
      </c>
      <c r="AN74" s="145">
        <f t="shared" si="34"/>
        <v>2</v>
      </c>
      <c r="AO74" s="148">
        <f t="shared" si="3"/>
        <v>61</v>
      </c>
    </row>
    <row r="75" spans="1:42" s="155" customFormat="1" ht="20.100000000000001" customHeight="1" x14ac:dyDescent="0.3">
      <c r="A75" s="105" t="s">
        <v>36</v>
      </c>
      <c r="B75" s="7" t="s">
        <v>135</v>
      </c>
      <c r="C75" s="149">
        <f t="shared" ref="C75:AO75" si="36">SUM(C71:C74)</f>
        <v>133</v>
      </c>
      <c r="D75" s="114">
        <f t="shared" si="36"/>
        <v>0</v>
      </c>
      <c r="E75" s="114">
        <f t="shared" si="36"/>
        <v>133</v>
      </c>
      <c r="F75" s="150">
        <f t="shared" si="36"/>
        <v>26</v>
      </c>
      <c r="G75" s="150">
        <f t="shared" si="36"/>
        <v>16</v>
      </c>
      <c r="H75" s="150">
        <f t="shared" si="36"/>
        <v>0</v>
      </c>
      <c r="I75" s="150">
        <f t="shared" si="36"/>
        <v>0</v>
      </c>
      <c r="J75" s="150">
        <f t="shared" si="36"/>
        <v>0</v>
      </c>
      <c r="K75" s="150">
        <f t="shared" si="36"/>
        <v>4</v>
      </c>
      <c r="L75" s="150">
        <f t="shared" si="36"/>
        <v>46</v>
      </c>
      <c r="M75" s="150">
        <f t="shared" si="36"/>
        <v>34</v>
      </c>
      <c r="N75" s="150">
        <f t="shared" si="36"/>
        <v>22</v>
      </c>
      <c r="O75" s="150">
        <f t="shared" si="36"/>
        <v>0</v>
      </c>
      <c r="P75" s="150">
        <f t="shared" si="36"/>
        <v>2</v>
      </c>
      <c r="Q75" s="150">
        <f t="shared" si="36"/>
        <v>0</v>
      </c>
      <c r="R75" s="150">
        <f t="shared" si="36"/>
        <v>8</v>
      </c>
      <c r="S75" s="150">
        <f t="shared" si="36"/>
        <v>0</v>
      </c>
      <c r="T75" s="150">
        <f t="shared" si="36"/>
        <v>0</v>
      </c>
      <c r="U75" s="150">
        <f t="shared" si="36"/>
        <v>0</v>
      </c>
      <c r="V75" s="150">
        <f t="shared" si="36"/>
        <v>66</v>
      </c>
      <c r="W75" s="150">
        <f t="shared" si="36"/>
        <v>0</v>
      </c>
      <c r="X75" s="150">
        <f t="shared" si="36"/>
        <v>0</v>
      </c>
      <c r="Y75" s="150">
        <f t="shared" si="36"/>
        <v>112</v>
      </c>
      <c r="Z75" s="150">
        <f t="shared" si="36"/>
        <v>29</v>
      </c>
      <c r="AA75" s="150">
        <f t="shared" si="36"/>
        <v>0</v>
      </c>
      <c r="AB75" s="150">
        <f t="shared" si="36"/>
        <v>0</v>
      </c>
      <c r="AC75" s="150">
        <f t="shared" si="36"/>
        <v>0</v>
      </c>
      <c r="AD75" s="150">
        <f t="shared" si="36"/>
        <v>0</v>
      </c>
      <c r="AE75" s="150">
        <f t="shared" si="36"/>
        <v>0</v>
      </c>
      <c r="AF75" s="150">
        <f t="shared" si="36"/>
        <v>0</v>
      </c>
      <c r="AG75" s="150">
        <f t="shared" si="36"/>
        <v>0</v>
      </c>
      <c r="AH75" s="150">
        <f t="shared" si="36"/>
        <v>0</v>
      </c>
      <c r="AI75" s="150">
        <f t="shared" si="36"/>
        <v>29</v>
      </c>
      <c r="AJ75" s="150">
        <f t="shared" si="36"/>
        <v>0</v>
      </c>
      <c r="AK75" s="150">
        <f t="shared" si="36"/>
        <v>0</v>
      </c>
      <c r="AL75" s="151">
        <f t="shared" si="36"/>
        <v>0</v>
      </c>
      <c r="AM75" s="152">
        <f t="shared" si="36"/>
        <v>133</v>
      </c>
      <c r="AN75" s="150">
        <f t="shared" si="36"/>
        <v>8</v>
      </c>
      <c r="AO75" s="153">
        <f t="shared" si="36"/>
        <v>141</v>
      </c>
      <c r="AP75" s="154"/>
    </row>
    <row r="76" spans="1:42" x14ac:dyDescent="0.3">
      <c r="A76" s="104" t="s">
        <v>102</v>
      </c>
      <c r="B76" s="4" t="s">
        <v>103</v>
      </c>
      <c r="C76" s="143">
        <v>240</v>
      </c>
      <c r="D76" s="144"/>
      <c r="E76" s="145">
        <f>C76+D76</f>
        <v>240</v>
      </c>
      <c r="F76" s="144">
        <v>46</v>
      </c>
      <c r="G76" s="144">
        <v>30</v>
      </c>
      <c r="H76" s="145"/>
      <c r="I76" s="145"/>
      <c r="J76" s="145"/>
      <c r="K76" s="145">
        <v>10</v>
      </c>
      <c r="L76" s="146">
        <f>SUM(F76:K76)</f>
        <v>86</v>
      </c>
      <c r="M76" s="144">
        <v>57</v>
      </c>
      <c r="N76" s="144">
        <v>36</v>
      </c>
      <c r="O76" s="145"/>
      <c r="P76" s="145">
        <v>10</v>
      </c>
      <c r="Q76" s="145"/>
      <c r="R76" s="8">
        <v>12</v>
      </c>
      <c r="S76" s="145"/>
      <c r="T76" s="145"/>
      <c r="U76" s="159" t="s">
        <v>39</v>
      </c>
      <c r="V76" s="146">
        <f>SUM(M76:U76)</f>
        <v>115</v>
      </c>
      <c r="W76" s="145"/>
      <c r="X76" s="145"/>
      <c r="Y76" s="146">
        <f>SUM(F76:K76)+SUM(M76:U76)+SUM(W76:X76)</f>
        <v>201</v>
      </c>
      <c r="Z76" s="145"/>
      <c r="AA76" s="145"/>
      <c r="AB76" s="145"/>
      <c r="AC76" s="8">
        <v>51</v>
      </c>
      <c r="AD76" s="144"/>
      <c r="AE76" s="144"/>
      <c r="AF76" s="145"/>
      <c r="AG76" s="145"/>
      <c r="AH76" s="145"/>
      <c r="AI76" s="146">
        <f>SUM(Z76:AE76)</f>
        <v>51</v>
      </c>
      <c r="AJ76" s="8"/>
      <c r="AK76" s="8"/>
      <c r="AL76" s="137"/>
      <c r="AM76" s="147">
        <f t="shared" si="33"/>
        <v>240</v>
      </c>
      <c r="AN76" s="145">
        <f t="shared" si="34"/>
        <v>12</v>
      </c>
      <c r="AO76" s="148">
        <f t="shared" ref="AO76:AO91" si="37">AM76+AN76</f>
        <v>252</v>
      </c>
    </row>
    <row r="77" spans="1:42" s="155" customFormat="1" ht="20.100000000000001" customHeight="1" x14ac:dyDescent="0.3">
      <c r="A77" s="105" t="s">
        <v>36</v>
      </c>
      <c r="B77" s="7" t="s">
        <v>136</v>
      </c>
      <c r="C77" s="149">
        <f t="shared" ref="C77:AO77" si="38">SUM(C76)</f>
        <v>240</v>
      </c>
      <c r="D77" s="114">
        <f t="shared" si="38"/>
        <v>0</v>
      </c>
      <c r="E77" s="114">
        <f t="shared" si="38"/>
        <v>240</v>
      </c>
      <c r="F77" s="150">
        <f t="shared" si="38"/>
        <v>46</v>
      </c>
      <c r="G77" s="150">
        <f t="shared" si="38"/>
        <v>30</v>
      </c>
      <c r="H77" s="150">
        <f t="shared" si="38"/>
        <v>0</v>
      </c>
      <c r="I77" s="150">
        <f t="shared" si="38"/>
        <v>0</v>
      </c>
      <c r="J77" s="150">
        <f t="shared" si="38"/>
        <v>0</v>
      </c>
      <c r="K77" s="150">
        <f t="shared" si="38"/>
        <v>10</v>
      </c>
      <c r="L77" s="150">
        <f t="shared" si="38"/>
        <v>86</v>
      </c>
      <c r="M77" s="150">
        <f t="shared" si="38"/>
        <v>57</v>
      </c>
      <c r="N77" s="150">
        <f t="shared" si="38"/>
        <v>36</v>
      </c>
      <c r="O77" s="150">
        <f t="shared" si="38"/>
        <v>0</v>
      </c>
      <c r="P77" s="150">
        <f t="shared" si="38"/>
        <v>10</v>
      </c>
      <c r="Q77" s="150">
        <f t="shared" si="38"/>
        <v>0</v>
      </c>
      <c r="R77" s="150">
        <f t="shared" si="38"/>
        <v>12</v>
      </c>
      <c r="S77" s="150">
        <f t="shared" si="38"/>
        <v>0</v>
      </c>
      <c r="T77" s="150">
        <f t="shared" si="38"/>
        <v>0</v>
      </c>
      <c r="U77" s="150">
        <f t="shared" si="38"/>
        <v>0</v>
      </c>
      <c r="V77" s="150">
        <f t="shared" si="38"/>
        <v>115</v>
      </c>
      <c r="W77" s="150">
        <f t="shared" si="38"/>
        <v>0</v>
      </c>
      <c r="X77" s="150">
        <f t="shared" si="38"/>
        <v>0</v>
      </c>
      <c r="Y77" s="150">
        <f t="shared" si="38"/>
        <v>201</v>
      </c>
      <c r="Z77" s="150">
        <f t="shared" si="38"/>
        <v>0</v>
      </c>
      <c r="AA77" s="150">
        <f t="shared" si="38"/>
        <v>0</v>
      </c>
      <c r="AB77" s="150">
        <f t="shared" si="38"/>
        <v>0</v>
      </c>
      <c r="AC77" s="150">
        <f t="shared" si="38"/>
        <v>51</v>
      </c>
      <c r="AD77" s="150">
        <f t="shared" si="38"/>
        <v>0</v>
      </c>
      <c r="AE77" s="150">
        <f t="shared" si="38"/>
        <v>0</v>
      </c>
      <c r="AF77" s="150">
        <f t="shared" si="38"/>
        <v>0</v>
      </c>
      <c r="AG77" s="150">
        <f t="shared" si="38"/>
        <v>0</v>
      </c>
      <c r="AH77" s="150">
        <f t="shared" si="38"/>
        <v>0</v>
      </c>
      <c r="AI77" s="150">
        <f t="shared" si="38"/>
        <v>51</v>
      </c>
      <c r="AJ77" s="150">
        <f t="shared" si="38"/>
        <v>0</v>
      </c>
      <c r="AK77" s="150">
        <f t="shared" si="38"/>
        <v>0</v>
      </c>
      <c r="AL77" s="151">
        <f t="shared" si="38"/>
        <v>0</v>
      </c>
      <c r="AM77" s="152">
        <f t="shared" si="38"/>
        <v>240</v>
      </c>
      <c r="AN77" s="150">
        <f t="shared" si="38"/>
        <v>12</v>
      </c>
      <c r="AO77" s="153">
        <f t="shared" si="38"/>
        <v>252</v>
      </c>
      <c r="AP77" s="154"/>
    </row>
    <row r="78" spans="1:42" x14ac:dyDescent="0.3">
      <c r="A78" s="104" t="s">
        <v>104</v>
      </c>
      <c r="B78" s="6" t="s">
        <v>142</v>
      </c>
      <c r="C78" s="143">
        <v>17</v>
      </c>
      <c r="D78" s="144"/>
      <c r="E78" s="145">
        <f>C78+D78</f>
        <v>17</v>
      </c>
      <c r="F78" s="145">
        <v>4</v>
      </c>
      <c r="G78" s="145">
        <v>2</v>
      </c>
      <c r="H78" s="145"/>
      <c r="I78" s="145"/>
      <c r="J78" s="145"/>
      <c r="K78" s="145">
        <v>1</v>
      </c>
      <c r="L78" s="146">
        <f>SUM(F78:K78)</f>
        <v>7</v>
      </c>
      <c r="M78" s="145">
        <v>4</v>
      </c>
      <c r="N78" s="144">
        <v>3</v>
      </c>
      <c r="O78" s="144"/>
      <c r="P78" s="144"/>
      <c r="Q78" s="144"/>
      <c r="R78" s="8">
        <v>1</v>
      </c>
      <c r="S78" s="145"/>
      <c r="T78" s="145"/>
      <c r="U78" s="159" t="s">
        <v>39</v>
      </c>
      <c r="V78" s="146">
        <f>SUM(M78:U78)</f>
        <v>8</v>
      </c>
      <c r="W78" s="145"/>
      <c r="X78" s="145"/>
      <c r="Y78" s="146">
        <f>SUM(F78:K78)+SUM(M78:U78)+SUM(W78:X78)</f>
        <v>15</v>
      </c>
      <c r="Z78" s="145"/>
      <c r="AA78" s="145"/>
      <c r="AB78" s="145"/>
      <c r="AC78" s="144">
        <v>3</v>
      </c>
      <c r="AD78" s="145"/>
      <c r="AE78" s="145"/>
      <c r="AF78" s="145"/>
      <c r="AG78" s="145"/>
      <c r="AH78" s="145"/>
      <c r="AI78" s="146">
        <f>SUM(Z78:AE78)</f>
        <v>3</v>
      </c>
      <c r="AJ78" s="8"/>
      <c r="AK78" s="8"/>
      <c r="AL78" s="137"/>
      <c r="AM78" s="147">
        <f t="shared" si="33"/>
        <v>17</v>
      </c>
      <c r="AN78" s="145">
        <f t="shared" si="34"/>
        <v>1</v>
      </c>
      <c r="AO78" s="148">
        <f t="shared" si="37"/>
        <v>18</v>
      </c>
    </row>
    <row r="79" spans="1:42" ht="20.100000000000001" customHeight="1" x14ac:dyDescent="0.3">
      <c r="A79" s="104" t="s">
        <v>104</v>
      </c>
      <c r="B79" s="4" t="s">
        <v>105</v>
      </c>
      <c r="C79" s="143">
        <v>24</v>
      </c>
      <c r="D79" s="144"/>
      <c r="E79" s="145">
        <f>C79+D79</f>
        <v>24</v>
      </c>
      <c r="F79" s="145">
        <v>4</v>
      </c>
      <c r="G79" s="145">
        <v>3</v>
      </c>
      <c r="H79" s="145"/>
      <c r="I79" s="145"/>
      <c r="J79" s="145"/>
      <c r="K79" s="145">
        <v>1</v>
      </c>
      <c r="L79" s="146">
        <f>SUM(F79:K79)</f>
        <v>8</v>
      </c>
      <c r="M79" s="145">
        <v>6</v>
      </c>
      <c r="N79" s="145">
        <v>5</v>
      </c>
      <c r="O79" s="145"/>
      <c r="P79" s="145"/>
      <c r="Q79" s="145"/>
      <c r="R79" s="144">
        <v>1</v>
      </c>
      <c r="S79" s="145"/>
      <c r="T79" s="145"/>
      <c r="U79" s="159" t="s">
        <v>39</v>
      </c>
      <c r="V79" s="146">
        <f>SUM(M79:U79)</f>
        <v>12</v>
      </c>
      <c r="W79" s="145"/>
      <c r="X79" s="145"/>
      <c r="Y79" s="146">
        <f>SUM(F79:K79)+SUM(M79:U79)+SUM(W79:X79)</f>
        <v>20</v>
      </c>
      <c r="Z79" s="145"/>
      <c r="AA79" s="145"/>
      <c r="AB79" s="145"/>
      <c r="AC79" s="145">
        <v>5</v>
      </c>
      <c r="AD79" s="145"/>
      <c r="AE79" s="145"/>
      <c r="AF79" s="145"/>
      <c r="AG79" s="145"/>
      <c r="AH79" s="145"/>
      <c r="AI79" s="146">
        <f>SUM(Z79:AE79)</f>
        <v>5</v>
      </c>
      <c r="AJ79" s="8"/>
      <c r="AK79" s="8"/>
      <c r="AL79" s="137"/>
      <c r="AM79" s="147">
        <f t="shared" si="33"/>
        <v>24</v>
      </c>
      <c r="AN79" s="145">
        <f t="shared" si="34"/>
        <v>1</v>
      </c>
      <c r="AO79" s="148">
        <f t="shared" si="37"/>
        <v>25</v>
      </c>
    </row>
    <row r="80" spans="1:42" ht="20.100000000000001" customHeight="1" x14ac:dyDescent="0.3">
      <c r="A80" s="104" t="s">
        <v>104</v>
      </c>
      <c r="B80" s="4" t="s">
        <v>106</v>
      </c>
      <c r="C80" s="143">
        <v>26</v>
      </c>
      <c r="D80" s="144"/>
      <c r="E80" s="145">
        <f>C80+D80</f>
        <v>26</v>
      </c>
      <c r="F80" s="145">
        <v>4</v>
      </c>
      <c r="G80" s="145">
        <v>3</v>
      </c>
      <c r="H80" s="145"/>
      <c r="I80" s="145"/>
      <c r="J80" s="145"/>
      <c r="K80" s="145">
        <v>1</v>
      </c>
      <c r="L80" s="146">
        <f>SUM(F80:K80)</f>
        <v>8</v>
      </c>
      <c r="M80" s="145">
        <v>7</v>
      </c>
      <c r="N80" s="145">
        <v>4</v>
      </c>
      <c r="O80" s="145"/>
      <c r="P80" s="145"/>
      <c r="Q80" s="145"/>
      <c r="R80" s="145">
        <v>2</v>
      </c>
      <c r="S80" s="145"/>
      <c r="T80" s="145"/>
      <c r="U80" s="159" t="s">
        <v>39</v>
      </c>
      <c r="V80" s="146">
        <f>SUM(M80:U80)</f>
        <v>13</v>
      </c>
      <c r="W80" s="145"/>
      <c r="X80" s="145"/>
      <c r="Y80" s="146">
        <f>SUM(F80:K80)+SUM(M80:U80)+SUM(W80:X80)</f>
        <v>21</v>
      </c>
      <c r="Z80" s="145"/>
      <c r="AA80" s="145"/>
      <c r="AB80" s="145"/>
      <c r="AC80" s="145">
        <v>7</v>
      </c>
      <c r="AD80" s="145"/>
      <c r="AE80" s="145"/>
      <c r="AF80" s="145"/>
      <c r="AG80" s="145"/>
      <c r="AH80" s="145"/>
      <c r="AI80" s="146">
        <f>SUM(Z80:AE80)</f>
        <v>7</v>
      </c>
      <c r="AJ80" s="8"/>
      <c r="AK80" s="8"/>
      <c r="AL80" s="137"/>
      <c r="AM80" s="147">
        <f t="shared" si="33"/>
        <v>26</v>
      </c>
      <c r="AN80" s="145">
        <f t="shared" si="34"/>
        <v>2</v>
      </c>
      <c r="AO80" s="148">
        <f t="shared" si="37"/>
        <v>28</v>
      </c>
    </row>
    <row r="81" spans="1:42" ht="20.100000000000001" customHeight="1" x14ac:dyDescent="0.3">
      <c r="A81" s="104" t="s">
        <v>104</v>
      </c>
      <c r="B81" s="4" t="s">
        <v>107</v>
      </c>
      <c r="C81" s="143">
        <v>42</v>
      </c>
      <c r="D81" s="144"/>
      <c r="E81" s="145">
        <f>C81+D81</f>
        <v>42</v>
      </c>
      <c r="F81" s="8">
        <v>9</v>
      </c>
      <c r="G81" s="8">
        <v>5</v>
      </c>
      <c r="H81" s="144"/>
      <c r="I81" s="144"/>
      <c r="J81" s="144"/>
      <c r="K81" s="145">
        <v>2</v>
      </c>
      <c r="L81" s="146">
        <f>SUM(F81:K81)</f>
        <v>16</v>
      </c>
      <c r="M81" s="145">
        <v>12</v>
      </c>
      <c r="N81" s="145">
        <v>7</v>
      </c>
      <c r="O81" s="145"/>
      <c r="P81" s="145"/>
      <c r="Q81" s="145"/>
      <c r="R81" s="145">
        <v>2</v>
      </c>
      <c r="S81" s="145"/>
      <c r="T81" s="145"/>
      <c r="U81" s="159" t="s">
        <v>39</v>
      </c>
      <c r="V81" s="146">
        <f>SUM(M81:U81)</f>
        <v>21</v>
      </c>
      <c r="W81" s="145"/>
      <c r="X81" s="145"/>
      <c r="Y81" s="146">
        <f>SUM(F81:K81)+SUM(M81:U81)+SUM(W81:X81)</f>
        <v>37</v>
      </c>
      <c r="Z81" s="145"/>
      <c r="AA81" s="145"/>
      <c r="AB81" s="145"/>
      <c r="AC81" s="8">
        <v>7</v>
      </c>
      <c r="AD81" s="145"/>
      <c r="AE81" s="145"/>
      <c r="AF81" s="145"/>
      <c r="AG81" s="145"/>
      <c r="AH81" s="145"/>
      <c r="AI81" s="146">
        <f>SUM(Z81:AE81)</f>
        <v>7</v>
      </c>
      <c r="AJ81" s="8"/>
      <c r="AK81" s="8"/>
      <c r="AL81" s="137"/>
      <c r="AM81" s="147">
        <f t="shared" si="33"/>
        <v>42</v>
      </c>
      <c r="AN81" s="145">
        <f t="shared" si="34"/>
        <v>2</v>
      </c>
      <c r="AO81" s="148">
        <f t="shared" si="37"/>
        <v>44</v>
      </c>
    </row>
    <row r="82" spans="1:42" ht="20.100000000000001" customHeight="1" x14ac:dyDescent="0.3">
      <c r="A82" s="104" t="s">
        <v>104</v>
      </c>
      <c r="B82" s="4" t="s">
        <v>108</v>
      </c>
      <c r="C82" s="143">
        <v>66</v>
      </c>
      <c r="D82" s="144"/>
      <c r="E82" s="145">
        <f>C82+D82</f>
        <v>66</v>
      </c>
      <c r="F82" s="144">
        <v>14</v>
      </c>
      <c r="G82" s="144">
        <v>9</v>
      </c>
      <c r="H82" s="145"/>
      <c r="I82" s="145"/>
      <c r="J82" s="145"/>
      <c r="K82" s="145">
        <v>1</v>
      </c>
      <c r="L82" s="146">
        <f>SUM(F82:K82)</f>
        <v>24</v>
      </c>
      <c r="M82" s="145">
        <v>16</v>
      </c>
      <c r="N82" s="145">
        <v>12</v>
      </c>
      <c r="O82" s="145"/>
      <c r="P82" s="145"/>
      <c r="Q82" s="145"/>
      <c r="R82" s="145">
        <v>3</v>
      </c>
      <c r="S82" s="145"/>
      <c r="T82" s="145"/>
      <c r="U82" s="159" t="s">
        <v>39</v>
      </c>
      <c r="V82" s="146">
        <f>SUM(M82:U82)</f>
        <v>31</v>
      </c>
      <c r="W82" s="145"/>
      <c r="X82" s="145"/>
      <c r="Y82" s="146">
        <f>SUM(F82:K82)+SUM(M82:U82)+SUM(W82:X82)</f>
        <v>55</v>
      </c>
      <c r="Z82" s="145"/>
      <c r="AA82" s="145"/>
      <c r="AB82" s="145"/>
      <c r="AC82" s="145">
        <v>14</v>
      </c>
      <c r="AD82" s="145"/>
      <c r="AE82" s="145"/>
      <c r="AF82" s="145"/>
      <c r="AG82" s="145"/>
      <c r="AH82" s="145"/>
      <c r="AI82" s="146">
        <f>SUM(Z82:AE82)</f>
        <v>14</v>
      </c>
      <c r="AJ82" s="8"/>
      <c r="AK82" s="8"/>
      <c r="AL82" s="137"/>
      <c r="AM82" s="147">
        <f t="shared" si="33"/>
        <v>66</v>
      </c>
      <c r="AN82" s="145">
        <f t="shared" si="34"/>
        <v>3</v>
      </c>
      <c r="AO82" s="148">
        <f t="shared" si="37"/>
        <v>69</v>
      </c>
    </row>
    <row r="83" spans="1:42" s="155" customFormat="1" ht="20.100000000000001" customHeight="1" x14ac:dyDescent="0.3">
      <c r="A83" s="105" t="s">
        <v>36</v>
      </c>
      <c r="B83" s="7" t="s">
        <v>137</v>
      </c>
      <c r="C83" s="149">
        <f t="shared" ref="C83:AO83" si="39">SUM(C78:C82)</f>
        <v>175</v>
      </c>
      <c r="D83" s="114">
        <f t="shared" si="39"/>
        <v>0</v>
      </c>
      <c r="E83" s="114">
        <f t="shared" si="39"/>
        <v>175</v>
      </c>
      <c r="F83" s="150">
        <f t="shared" si="39"/>
        <v>35</v>
      </c>
      <c r="G83" s="150">
        <f t="shared" si="39"/>
        <v>22</v>
      </c>
      <c r="H83" s="150">
        <f t="shared" si="39"/>
        <v>0</v>
      </c>
      <c r="I83" s="150">
        <f t="shared" si="39"/>
        <v>0</v>
      </c>
      <c r="J83" s="150">
        <f t="shared" si="39"/>
        <v>0</v>
      </c>
      <c r="K83" s="150">
        <f t="shared" si="39"/>
        <v>6</v>
      </c>
      <c r="L83" s="150">
        <f t="shared" si="39"/>
        <v>63</v>
      </c>
      <c r="M83" s="150">
        <f t="shared" si="39"/>
        <v>45</v>
      </c>
      <c r="N83" s="150">
        <f t="shared" si="39"/>
        <v>31</v>
      </c>
      <c r="O83" s="150">
        <f t="shared" si="39"/>
        <v>0</v>
      </c>
      <c r="P83" s="150">
        <f t="shared" si="39"/>
        <v>0</v>
      </c>
      <c r="Q83" s="150">
        <f t="shared" si="39"/>
        <v>0</v>
      </c>
      <c r="R83" s="150">
        <f t="shared" si="39"/>
        <v>9</v>
      </c>
      <c r="S83" s="150">
        <f t="shared" si="39"/>
        <v>0</v>
      </c>
      <c r="T83" s="150">
        <f t="shared" si="39"/>
        <v>0</v>
      </c>
      <c r="U83" s="150">
        <f t="shared" si="39"/>
        <v>0</v>
      </c>
      <c r="V83" s="150">
        <f t="shared" si="39"/>
        <v>85</v>
      </c>
      <c r="W83" s="150">
        <f t="shared" si="39"/>
        <v>0</v>
      </c>
      <c r="X83" s="150">
        <f t="shared" si="39"/>
        <v>0</v>
      </c>
      <c r="Y83" s="150">
        <f t="shared" si="39"/>
        <v>148</v>
      </c>
      <c r="Z83" s="150">
        <f t="shared" si="39"/>
        <v>0</v>
      </c>
      <c r="AA83" s="150">
        <f t="shared" si="39"/>
        <v>0</v>
      </c>
      <c r="AB83" s="150">
        <f t="shared" si="39"/>
        <v>0</v>
      </c>
      <c r="AC83" s="150">
        <f t="shared" si="39"/>
        <v>36</v>
      </c>
      <c r="AD83" s="150">
        <f t="shared" si="39"/>
        <v>0</v>
      </c>
      <c r="AE83" s="150">
        <f t="shared" si="39"/>
        <v>0</v>
      </c>
      <c r="AF83" s="150">
        <f t="shared" si="39"/>
        <v>0</v>
      </c>
      <c r="AG83" s="150">
        <f t="shared" si="39"/>
        <v>0</v>
      </c>
      <c r="AH83" s="150">
        <f t="shared" si="39"/>
        <v>0</v>
      </c>
      <c r="AI83" s="150">
        <f t="shared" si="39"/>
        <v>36</v>
      </c>
      <c r="AJ83" s="150">
        <f t="shared" si="39"/>
        <v>0</v>
      </c>
      <c r="AK83" s="150">
        <f t="shared" si="39"/>
        <v>0</v>
      </c>
      <c r="AL83" s="151">
        <f t="shared" si="39"/>
        <v>0</v>
      </c>
      <c r="AM83" s="152">
        <f t="shared" si="39"/>
        <v>175</v>
      </c>
      <c r="AN83" s="150">
        <f t="shared" si="39"/>
        <v>9</v>
      </c>
      <c r="AO83" s="153">
        <f t="shared" si="39"/>
        <v>184</v>
      </c>
      <c r="AP83" s="154"/>
    </row>
    <row r="84" spans="1:42" ht="20.100000000000001" customHeight="1" x14ac:dyDescent="0.3">
      <c r="A84" s="104" t="s">
        <v>109</v>
      </c>
      <c r="B84" s="4" t="s">
        <v>114</v>
      </c>
      <c r="C84" s="143">
        <v>20</v>
      </c>
      <c r="D84" s="144"/>
      <c r="E84" s="145">
        <f>C84+D84</f>
        <v>20</v>
      </c>
      <c r="F84" s="144">
        <v>4</v>
      </c>
      <c r="G84" s="144">
        <v>2</v>
      </c>
      <c r="H84" s="144"/>
      <c r="I84" s="144"/>
      <c r="J84" s="144"/>
      <c r="K84" s="144"/>
      <c r="L84" s="146">
        <f>SUM(F84:K84)</f>
        <v>6</v>
      </c>
      <c r="M84" s="144">
        <v>6</v>
      </c>
      <c r="N84" s="144">
        <v>4</v>
      </c>
      <c r="O84" s="144"/>
      <c r="P84" s="144">
        <v>1</v>
      </c>
      <c r="Q84" s="144"/>
      <c r="R84" s="144">
        <v>1</v>
      </c>
      <c r="S84" s="144"/>
      <c r="T84" s="144"/>
      <c r="U84" s="157"/>
      <c r="V84" s="146">
        <f>SUM(M84:U84)</f>
        <v>12</v>
      </c>
      <c r="W84" s="144"/>
      <c r="X84" s="144"/>
      <c r="Y84" s="146">
        <f>SUM(F84:K84)+SUM(M84:U84)+SUM(W84:X84)</f>
        <v>18</v>
      </c>
      <c r="Z84" s="144"/>
      <c r="AA84" s="144"/>
      <c r="AB84" s="144"/>
      <c r="AC84" s="144">
        <v>3</v>
      </c>
      <c r="AD84" s="144"/>
      <c r="AE84" s="144"/>
      <c r="AF84" s="144"/>
      <c r="AG84" s="144"/>
      <c r="AH84" s="144"/>
      <c r="AI84" s="146">
        <f>SUM(Z84:AE84)</f>
        <v>3</v>
      </c>
      <c r="AJ84" s="8"/>
      <c r="AK84" s="8"/>
      <c r="AL84" s="137"/>
      <c r="AM84" s="147">
        <f t="shared" si="33"/>
        <v>20</v>
      </c>
      <c r="AN84" s="145">
        <f t="shared" si="34"/>
        <v>1</v>
      </c>
      <c r="AO84" s="148">
        <f>AM84+AN84</f>
        <v>21</v>
      </c>
    </row>
    <row r="85" spans="1:42" x14ac:dyDescent="0.3">
      <c r="A85" s="104" t="s">
        <v>109</v>
      </c>
      <c r="B85" s="4" t="s">
        <v>110</v>
      </c>
      <c r="C85" s="143">
        <v>84</v>
      </c>
      <c r="D85" s="144"/>
      <c r="E85" s="145">
        <f>C85+D85</f>
        <v>84</v>
      </c>
      <c r="F85" s="144">
        <v>16</v>
      </c>
      <c r="G85" s="144">
        <v>10</v>
      </c>
      <c r="H85" s="144"/>
      <c r="I85" s="144"/>
      <c r="J85" s="144"/>
      <c r="K85" s="144">
        <v>2</v>
      </c>
      <c r="L85" s="146">
        <f>SUM(F85:K85)</f>
        <v>28</v>
      </c>
      <c r="M85" s="144">
        <v>20</v>
      </c>
      <c r="N85" s="144">
        <v>11</v>
      </c>
      <c r="O85" s="144"/>
      <c r="P85" s="144">
        <v>4</v>
      </c>
      <c r="Q85" s="144"/>
      <c r="R85" s="144">
        <v>3</v>
      </c>
      <c r="S85" s="144"/>
      <c r="T85" s="144"/>
      <c r="U85" s="157" t="s">
        <v>39</v>
      </c>
      <c r="V85" s="146">
        <f>SUM(M85:U85)</f>
        <v>38</v>
      </c>
      <c r="W85" s="144"/>
      <c r="X85" s="144"/>
      <c r="Y85" s="146">
        <f>SUM(F85:K85)+SUM(M85:U85)+SUM(W85:X85)</f>
        <v>66</v>
      </c>
      <c r="Z85" s="144"/>
      <c r="AA85" s="144"/>
      <c r="AB85" s="144"/>
      <c r="AC85" s="144">
        <v>21</v>
      </c>
      <c r="AD85" s="144"/>
      <c r="AE85" s="144"/>
      <c r="AF85" s="144"/>
      <c r="AG85" s="144"/>
      <c r="AH85" s="144"/>
      <c r="AI85" s="146">
        <f>SUM(Z85:AE85)</f>
        <v>21</v>
      </c>
      <c r="AJ85" s="8"/>
      <c r="AK85" s="8"/>
      <c r="AL85" s="137"/>
      <c r="AM85" s="147">
        <f t="shared" si="33"/>
        <v>84</v>
      </c>
      <c r="AN85" s="145">
        <f t="shared" si="34"/>
        <v>3</v>
      </c>
      <c r="AO85" s="148">
        <f t="shared" si="37"/>
        <v>87</v>
      </c>
    </row>
    <row r="86" spans="1:42" ht="20.100000000000001" customHeight="1" x14ac:dyDescent="0.3">
      <c r="A86" s="104" t="s">
        <v>109</v>
      </c>
      <c r="B86" s="4" t="s">
        <v>111</v>
      </c>
      <c r="C86" s="143">
        <v>36</v>
      </c>
      <c r="D86" s="144"/>
      <c r="E86" s="145">
        <f>C86+D86</f>
        <v>36</v>
      </c>
      <c r="F86" s="144">
        <v>7</v>
      </c>
      <c r="G86" s="144">
        <v>4</v>
      </c>
      <c r="H86" s="144"/>
      <c r="I86" s="144"/>
      <c r="J86" s="144"/>
      <c r="K86" s="144">
        <v>1</v>
      </c>
      <c r="L86" s="146">
        <f>SUM(F86:K86)</f>
        <v>12</v>
      </c>
      <c r="M86" s="144">
        <v>10</v>
      </c>
      <c r="N86" s="144">
        <v>6</v>
      </c>
      <c r="O86" s="144"/>
      <c r="P86" s="144"/>
      <c r="Q86" s="144"/>
      <c r="R86" s="144">
        <v>2</v>
      </c>
      <c r="S86" s="144"/>
      <c r="T86" s="144"/>
      <c r="U86" s="157" t="s">
        <v>39</v>
      </c>
      <c r="V86" s="146">
        <f>SUM(M86:U86)</f>
        <v>18</v>
      </c>
      <c r="W86" s="144"/>
      <c r="X86" s="144"/>
      <c r="Y86" s="146">
        <f>SUM(F86:K86)+SUM(M86:U86)+SUM(W86:X86)</f>
        <v>30</v>
      </c>
      <c r="Z86" s="144"/>
      <c r="AA86" s="144"/>
      <c r="AB86" s="144"/>
      <c r="AC86" s="144">
        <v>8</v>
      </c>
      <c r="AD86" s="144"/>
      <c r="AE86" s="144"/>
      <c r="AF86" s="144"/>
      <c r="AG86" s="144"/>
      <c r="AH86" s="144"/>
      <c r="AI86" s="146">
        <f>SUM(Z86:AE86)</f>
        <v>8</v>
      </c>
      <c r="AJ86" s="8"/>
      <c r="AK86" s="8"/>
      <c r="AL86" s="137"/>
      <c r="AM86" s="147">
        <f t="shared" si="33"/>
        <v>36</v>
      </c>
      <c r="AN86" s="145">
        <f t="shared" si="34"/>
        <v>2</v>
      </c>
      <c r="AO86" s="148">
        <f t="shared" si="37"/>
        <v>38</v>
      </c>
    </row>
    <row r="87" spans="1:42" x14ac:dyDescent="0.3">
      <c r="A87" s="104" t="s">
        <v>109</v>
      </c>
      <c r="B87" s="4" t="s">
        <v>112</v>
      </c>
      <c r="C87" s="143">
        <v>138</v>
      </c>
      <c r="D87" s="119">
        <v>1</v>
      </c>
      <c r="E87" s="145">
        <f>C87+D87</f>
        <v>139</v>
      </c>
      <c r="F87" s="144">
        <v>18</v>
      </c>
      <c r="G87" s="144">
        <v>18</v>
      </c>
      <c r="H87" s="144"/>
      <c r="I87" s="144"/>
      <c r="J87" s="144"/>
      <c r="K87" s="144">
        <v>6</v>
      </c>
      <c r="L87" s="146">
        <f>SUM(F87:K87)</f>
        <v>42</v>
      </c>
      <c r="M87" s="144">
        <v>40</v>
      </c>
      <c r="N87" s="144">
        <v>18</v>
      </c>
      <c r="O87" s="144"/>
      <c r="P87" s="144">
        <v>5</v>
      </c>
      <c r="Q87" s="144"/>
      <c r="R87" s="144">
        <v>4</v>
      </c>
      <c r="S87" s="144"/>
      <c r="T87" s="144"/>
      <c r="U87" s="157" t="s">
        <v>39</v>
      </c>
      <c r="V87" s="146">
        <f>SUM(M87:U87)</f>
        <v>67</v>
      </c>
      <c r="W87" s="144"/>
      <c r="X87" s="144"/>
      <c r="Y87" s="146">
        <f>SUM(F87:K87)+SUM(M87:U87)+SUM(W87:X87)</f>
        <v>109</v>
      </c>
      <c r="Z87" s="144"/>
      <c r="AA87" s="144"/>
      <c r="AB87" s="144"/>
      <c r="AC87" s="144">
        <v>34</v>
      </c>
      <c r="AD87" s="144"/>
      <c r="AE87" s="144"/>
      <c r="AF87" s="144"/>
      <c r="AG87" s="144"/>
      <c r="AH87" s="144"/>
      <c r="AI87" s="146">
        <f>SUM(Z87:AE87)</f>
        <v>34</v>
      </c>
      <c r="AJ87" s="8"/>
      <c r="AK87" s="8"/>
      <c r="AL87" s="137"/>
      <c r="AM87" s="147">
        <f t="shared" si="33"/>
        <v>139</v>
      </c>
      <c r="AN87" s="145">
        <f t="shared" si="34"/>
        <v>4</v>
      </c>
      <c r="AO87" s="148">
        <f t="shared" si="37"/>
        <v>143</v>
      </c>
    </row>
    <row r="88" spans="1:42" ht="20.100000000000001" customHeight="1" x14ac:dyDescent="0.3">
      <c r="A88" s="104" t="s">
        <v>109</v>
      </c>
      <c r="B88" s="4" t="s">
        <v>113</v>
      </c>
      <c r="C88" s="143">
        <v>36</v>
      </c>
      <c r="D88" s="144"/>
      <c r="E88" s="145">
        <f>C88+D88</f>
        <v>36</v>
      </c>
      <c r="F88" s="144">
        <v>5</v>
      </c>
      <c r="G88" s="144">
        <v>3</v>
      </c>
      <c r="H88" s="144"/>
      <c r="I88" s="144"/>
      <c r="J88" s="144"/>
      <c r="K88" s="144">
        <v>2</v>
      </c>
      <c r="L88" s="146">
        <f>SUM(F88:K88)</f>
        <v>10</v>
      </c>
      <c r="M88" s="144">
        <v>10</v>
      </c>
      <c r="N88" s="144">
        <v>7</v>
      </c>
      <c r="O88" s="144"/>
      <c r="P88" s="144"/>
      <c r="Q88" s="144"/>
      <c r="R88" s="144">
        <v>2</v>
      </c>
      <c r="S88" s="144"/>
      <c r="T88" s="144"/>
      <c r="U88" s="157" t="s">
        <v>39</v>
      </c>
      <c r="V88" s="146">
        <f>SUM(M88:U88)</f>
        <v>19</v>
      </c>
      <c r="W88" s="144"/>
      <c r="X88" s="144"/>
      <c r="Y88" s="146">
        <f>SUM(F88:K88)+SUM(M88:U88)+SUM(W88:X88)</f>
        <v>29</v>
      </c>
      <c r="Z88" s="144"/>
      <c r="AA88" s="144"/>
      <c r="AB88" s="144"/>
      <c r="AC88" s="144">
        <v>9</v>
      </c>
      <c r="AD88" s="144"/>
      <c r="AE88" s="144"/>
      <c r="AF88" s="144"/>
      <c r="AG88" s="144"/>
      <c r="AH88" s="144"/>
      <c r="AI88" s="146">
        <f>SUM(Z88:AE88)</f>
        <v>9</v>
      </c>
      <c r="AJ88" s="8"/>
      <c r="AK88" s="8"/>
      <c r="AL88" s="137"/>
      <c r="AM88" s="147">
        <f t="shared" si="33"/>
        <v>36</v>
      </c>
      <c r="AN88" s="145">
        <f t="shared" si="34"/>
        <v>2</v>
      </c>
      <c r="AO88" s="148">
        <f t="shared" si="37"/>
        <v>38</v>
      </c>
    </row>
    <row r="89" spans="1:42" s="155" customFormat="1" ht="20.100000000000001" customHeight="1" x14ac:dyDescent="0.3">
      <c r="A89" s="105" t="s">
        <v>115</v>
      </c>
      <c r="B89" s="7" t="s">
        <v>138</v>
      </c>
      <c r="C89" s="149">
        <f t="shared" ref="C89:AO89" si="40">SUM(C84:C88)</f>
        <v>314</v>
      </c>
      <c r="D89" s="114">
        <f t="shared" si="40"/>
        <v>1</v>
      </c>
      <c r="E89" s="114">
        <f t="shared" si="40"/>
        <v>315</v>
      </c>
      <c r="F89" s="150">
        <f t="shared" si="40"/>
        <v>50</v>
      </c>
      <c r="G89" s="150">
        <f t="shared" si="40"/>
        <v>37</v>
      </c>
      <c r="H89" s="150">
        <f t="shared" si="40"/>
        <v>0</v>
      </c>
      <c r="I89" s="150">
        <f t="shared" si="40"/>
        <v>0</v>
      </c>
      <c r="J89" s="150">
        <f t="shared" si="40"/>
        <v>0</v>
      </c>
      <c r="K89" s="150">
        <f t="shared" si="40"/>
        <v>11</v>
      </c>
      <c r="L89" s="150">
        <f t="shared" si="40"/>
        <v>98</v>
      </c>
      <c r="M89" s="150">
        <f t="shared" si="40"/>
        <v>86</v>
      </c>
      <c r="N89" s="150">
        <f t="shared" si="40"/>
        <v>46</v>
      </c>
      <c r="O89" s="150">
        <f t="shared" si="40"/>
        <v>0</v>
      </c>
      <c r="P89" s="150">
        <f t="shared" si="40"/>
        <v>10</v>
      </c>
      <c r="Q89" s="150">
        <f t="shared" si="40"/>
        <v>0</v>
      </c>
      <c r="R89" s="150">
        <f t="shared" si="40"/>
        <v>12</v>
      </c>
      <c r="S89" s="150">
        <f t="shared" si="40"/>
        <v>0</v>
      </c>
      <c r="T89" s="150">
        <f t="shared" si="40"/>
        <v>0</v>
      </c>
      <c r="U89" s="150">
        <f t="shared" si="40"/>
        <v>0</v>
      </c>
      <c r="V89" s="150">
        <f t="shared" si="40"/>
        <v>154</v>
      </c>
      <c r="W89" s="150">
        <f t="shared" si="40"/>
        <v>0</v>
      </c>
      <c r="X89" s="150">
        <f t="shared" si="40"/>
        <v>0</v>
      </c>
      <c r="Y89" s="150">
        <f t="shared" si="40"/>
        <v>252</v>
      </c>
      <c r="Z89" s="150">
        <f t="shared" si="40"/>
        <v>0</v>
      </c>
      <c r="AA89" s="150">
        <f t="shared" si="40"/>
        <v>0</v>
      </c>
      <c r="AB89" s="150">
        <f t="shared" si="40"/>
        <v>0</v>
      </c>
      <c r="AC89" s="150">
        <f t="shared" si="40"/>
        <v>75</v>
      </c>
      <c r="AD89" s="150">
        <f t="shared" si="40"/>
        <v>0</v>
      </c>
      <c r="AE89" s="150">
        <f t="shared" si="40"/>
        <v>0</v>
      </c>
      <c r="AF89" s="150">
        <f t="shared" si="40"/>
        <v>0</v>
      </c>
      <c r="AG89" s="150">
        <f t="shared" si="40"/>
        <v>0</v>
      </c>
      <c r="AH89" s="150">
        <f t="shared" si="40"/>
        <v>0</v>
      </c>
      <c r="AI89" s="150">
        <f t="shared" si="40"/>
        <v>75</v>
      </c>
      <c r="AJ89" s="150">
        <f t="shared" si="40"/>
        <v>0</v>
      </c>
      <c r="AK89" s="150">
        <f t="shared" si="40"/>
        <v>0</v>
      </c>
      <c r="AL89" s="151">
        <f t="shared" si="40"/>
        <v>0</v>
      </c>
      <c r="AM89" s="152">
        <f t="shared" si="40"/>
        <v>315</v>
      </c>
      <c r="AN89" s="150">
        <f t="shared" si="40"/>
        <v>12</v>
      </c>
      <c r="AO89" s="153">
        <f t="shared" si="40"/>
        <v>327</v>
      </c>
      <c r="AP89" s="154"/>
    </row>
    <row r="90" spans="1:42" x14ac:dyDescent="0.3">
      <c r="A90" s="104" t="s">
        <v>116</v>
      </c>
      <c r="B90" s="4" t="s">
        <v>117</v>
      </c>
      <c r="C90" s="143">
        <v>39</v>
      </c>
      <c r="D90" s="144"/>
      <c r="E90" s="145">
        <f>C90+D90</f>
        <v>39</v>
      </c>
      <c r="F90" s="144">
        <v>4</v>
      </c>
      <c r="G90" s="8">
        <v>3</v>
      </c>
      <c r="H90" s="144"/>
      <c r="I90" s="144"/>
      <c r="J90" s="144"/>
      <c r="K90" s="145">
        <v>3</v>
      </c>
      <c r="L90" s="146">
        <f>SUM(F90:K90)</f>
        <v>10</v>
      </c>
      <c r="M90" s="8">
        <v>11</v>
      </c>
      <c r="N90" s="8">
        <v>11</v>
      </c>
      <c r="O90" s="145"/>
      <c r="P90" s="145">
        <v>2</v>
      </c>
      <c r="Q90" s="145"/>
      <c r="R90" s="144"/>
      <c r="S90" s="145"/>
      <c r="T90" s="145"/>
      <c r="U90" s="145"/>
      <c r="V90" s="146">
        <f>SUM(M90:U90)</f>
        <v>24</v>
      </c>
      <c r="W90" s="145"/>
      <c r="X90" s="145"/>
      <c r="Y90" s="146">
        <f>SUM(F90:K90)+SUM(M90:U90)+SUM(W90:X90)</f>
        <v>34</v>
      </c>
      <c r="Z90" s="145"/>
      <c r="AA90" s="145"/>
      <c r="AB90" s="145"/>
      <c r="AC90" s="8">
        <v>5</v>
      </c>
      <c r="AD90" s="144"/>
      <c r="AE90" s="144"/>
      <c r="AF90" s="145"/>
      <c r="AG90" s="145"/>
      <c r="AH90" s="145"/>
      <c r="AI90" s="146">
        <f>SUM(Z90:AE90)</f>
        <v>5</v>
      </c>
      <c r="AJ90" s="8"/>
      <c r="AK90" s="8"/>
      <c r="AL90" s="137"/>
      <c r="AM90" s="147">
        <f t="shared" si="33"/>
        <v>39</v>
      </c>
      <c r="AN90" s="145">
        <f t="shared" si="34"/>
        <v>0</v>
      </c>
      <c r="AO90" s="148">
        <f t="shared" si="37"/>
        <v>39</v>
      </c>
    </row>
    <row r="91" spans="1:42" x14ac:dyDescent="0.3">
      <c r="A91" s="104" t="s">
        <v>116</v>
      </c>
      <c r="B91" s="4" t="s">
        <v>118</v>
      </c>
      <c r="C91" s="143">
        <v>38</v>
      </c>
      <c r="D91" s="144"/>
      <c r="E91" s="145">
        <f>C91+D91</f>
        <v>38</v>
      </c>
      <c r="F91" s="144">
        <v>6</v>
      </c>
      <c r="G91" s="144">
        <v>4</v>
      </c>
      <c r="H91" s="144"/>
      <c r="I91" s="144"/>
      <c r="J91" s="144"/>
      <c r="K91" s="145">
        <v>3</v>
      </c>
      <c r="L91" s="146">
        <f>SUM(F91:K91)</f>
        <v>13</v>
      </c>
      <c r="M91" s="8">
        <v>9</v>
      </c>
      <c r="N91" s="8">
        <v>9</v>
      </c>
      <c r="O91" s="144"/>
      <c r="P91" s="144">
        <v>2</v>
      </c>
      <c r="Q91" s="145"/>
      <c r="R91" s="144"/>
      <c r="S91" s="145"/>
      <c r="T91" s="144"/>
      <c r="U91" s="145"/>
      <c r="V91" s="146">
        <f>SUM(M91:U91)</f>
        <v>20</v>
      </c>
      <c r="W91" s="145"/>
      <c r="X91" s="145"/>
      <c r="Y91" s="146">
        <f>SUM(F91:K91)+SUM(M91:U91)+SUM(W91:X91)</f>
        <v>33</v>
      </c>
      <c r="Z91" s="145"/>
      <c r="AA91" s="145"/>
      <c r="AB91" s="145"/>
      <c r="AC91" s="8">
        <v>5</v>
      </c>
      <c r="AD91" s="144"/>
      <c r="AE91" s="144"/>
      <c r="AF91" s="145"/>
      <c r="AG91" s="145"/>
      <c r="AH91" s="145"/>
      <c r="AI91" s="146">
        <f>SUM(Z91:AE91)</f>
        <v>5</v>
      </c>
      <c r="AJ91" s="8"/>
      <c r="AK91" s="8"/>
      <c r="AL91" s="137"/>
      <c r="AM91" s="147">
        <f t="shared" si="33"/>
        <v>38</v>
      </c>
      <c r="AN91" s="145">
        <f t="shared" si="34"/>
        <v>0</v>
      </c>
      <c r="AO91" s="148">
        <f t="shared" si="37"/>
        <v>38</v>
      </c>
    </row>
    <row r="92" spans="1:42" s="155" customFormat="1" ht="20.100000000000001" customHeight="1" x14ac:dyDescent="0.3">
      <c r="A92" s="105" t="s">
        <v>36</v>
      </c>
      <c r="B92" s="7" t="s">
        <v>139</v>
      </c>
      <c r="C92" s="149">
        <f t="shared" ref="C92:AO92" si="41">SUM(C90:C91)</f>
        <v>77</v>
      </c>
      <c r="D92" s="114">
        <f t="shared" si="41"/>
        <v>0</v>
      </c>
      <c r="E92" s="114">
        <f t="shared" si="41"/>
        <v>77</v>
      </c>
      <c r="F92" s="114">
        <f t="shared" si="41"/>
        <v>10</v>
      </c>
      <c r="G92" s="114">
        <f t="shared" si="41"/>
        <v>7</v>
      </c>
      <c r="H92" s="114">
        <f t="shared" si="41"/>
        <v>0</v>
      </c>
      <c r="I92" s="114">
        <f t="shared" si="41"/>
        <v>0</v>
      </c>
      <c r="J92" s="114">
        <f t="shared" si="41"/>
        <v>0</v>
      </c>
      <c r="K92" s="114">
        <f t="shared" si="41"/>
        <v>6</v>
      </c>
      <c r="L92" s="114">
        <f t="shared" si="41"/>
        <v>23</v>
      </c>
      <c r="M92" s="114">
        <f t="shared" si="41"/>
        <v>20</v>
      </c>
      <c r="N92" s="114">
        <f t="shared" si="41"/>
        <v>20</v>
      </c>
      <c r="O92" s="114">
        <f t="shared" si="41"/>
        <v>0</v>
      </c>
      <c r="P92" s="114">
        <f t="shared" si="41"/>
        <v>4</v>
      </c>
      <c r="Q92" s="114">
        <f t="shared" si="41"/>
        <v>0</v>
      </c>
      <c r="R92" s="114">
        <f t="shared" si="41"/>
        <v>0</v>
      </c>
      <c r="S92" s="114">
        <f t="shared" si="41"/>
        <v>0</v>
      </c>
      <c r="T92" s="114">
        <f t="shared" si="41"/>
        <v>0</v>
      </c>
      <c r="U92" s="114">
        <f t="shared" si="41"/>
        <v>0</v>
      </c>
      <c r="V92" s="114">
        <f t="shared" si="41"/>
        <v>44</v>
      </c>
      <c r="W92" s="114">
        <f t="shared" si="41"/>
        <v>0</v>
      </c>
      <c r="X92" s="114">
        <f t="shared" si="41"/>
        <v>0</v>
      </c>
      <c r="Y92" s="114">
        <f t="shared" si="41"/>
        <v>67</v>
      </c>
      <c r="Z92" s="114">
        <f t="shared" si="41"/>
        <v>0</v>
      </c>
      <c r="AA92" s="114">
        <f t="shared" si="41"/>
        <v>0</v>
      </c>
      <c r="AB92" s="114">
        <f t="shared" si="41"/>
        <v>0</v>
      </c>
      <c r="AC92" s="114">
        <f t="shared" si="41"/>
        <v>10</v>
      </c>
      <c r="AD92" s="114">
        <f t="shared" si="41"/>
        <v>0</v>
      </c>
      <c r="AE92" s="114">
        <f t="shared" si="41"/>
        <v>0</v>
      </c>
      <c r="AF92" s="114">
        <f t="shared" si="41"/>
        <v>0</v>
      </c>
      <c r="AG92" s="114">
        <f t="shared" si="41"/>
        <v>0</v>
      </c>
      <c r="AH92" s="114">
        <f t="shared" si="41"/>
        <v>0</v>
      </c>
      <c r="AI92" s="114">
        <f t="shared" si="41"/>
        <v>10</v>
      </c>
      <c r="AJ92" s="114">
        <f t="shared" si="41"/>
        <v>0</v>
      </c>
      <c r="AK92" s="114">
        <f t="shared" si="41"/>
        <v>0</v>
      </c>
      <c r="AL92" s="138">
        <f t="shared" si="41"/>
        <v>0</v>
      </c>
      <c r="AM92" s="160">
        <f t="shared" si="41"/>
        <v>77</v>
      </c>
      <c r="AN92" s="114">
        <f t="shared" si="41"/>
        <v>0</v>
      </c>
      <c r="AO92" s="117">
        <f t="shared" si="41"/>
        <v>77</v>
      </c>
      <c r="AP92" s="154"/>
    </row>
    <row r="93" spans="1:42" x14ac:dyDescent="0.3">
      <c r="A93" s="265" t="s">
        <v>119</v>
      </c>
      <c r="B93" s="266"/>
      <c r="C93" s="161">
        <f t="shared" ref="C93:T93" si="42">C92+C89+C83+C77+C75+C68+C70+C66+C64+C60+C53+C40+C26+C22+C13+C7</f>
        <v>3197</v>
      </c>
      <c r="D93" s="88">
        <f t="shared" si="42"/>
        <v>1</v>
      </c>
      <c r="E93" s="88">
        <f t="shared" si="42"/>
        <v>3198</v>
      </c>
      <c r="F93" s="89">
        <f t="shared" si="42"/>
        <v>462</v>
      </c>
      <c r="G93" s="89">
        <f t="shared" si="42"/>
        <v>372</v>
      </c>
      <c r="H93" s="89">
        <f t="shared" si="42"/>
        <v>30</v>
      </c>
      <c r="I93" s="89">
        <f t="shared" si="42"/>
        <v>7</v>
      </c>
      <c r="J93" s="89">
        <f t="shared" si="42"/>
        <v>0</v>
      </c>
      <c r="K93" s="89">
        <f t="shared" si="42"/>
        <v>110</v>
      </c>
      <c r="L93" s="89">
        <f t="shared" si="42"/>
        <v>981</v>
      </c>
      <c r="M93" s="89">
        <f t="shared" si="42"/>
        <v>771</v>
      </c>
      <c r="N93" s="89">
        <f t="shared" si="42"/>
        <v>528</v>
      </c>
      <c r="O93" s="89">
        <f t="shared" si="42"/>
        <v>6</v>
      </c>
      <c r="P93" s="89">
        <f t="shared" si="42"/>
        <v>78</v>
      </c>
      <c r="Q93" s="89">
        <f t="shared" si="42"/>
        <v>16</v>
      </c>
      <c r="R93" s="89">
        <f t="shared" si="42"/>
        <v>127</v>
      </c>
      <c r="S93" s="89">
        <f t="shared" si="42"/>
        <v>4</v>
      </c>
      <c r="T93" s="89">
        <f t="shared" si="42"/>
        <v>44</v>
      </c>
      <c r="U93" s="89">
        <v>30</v>
      </c>
      <c r="V93" s="89">
        <f>V92+V89+V83+V77+V75+V68+V70+V66+V64+V60+V53+V40+V26+V22+V13+V7+20</f>
        <v>1604</v>
      </c>
      <c r="W93" s="89">
        <f>W92+W89+W83+W77+W75+W68+W70+W66+W64+W60+W53+W40+W26+W22+W13+W7</f>
        <v>100</v>
      </c>
      <c r="X93" s="89">
        <f>X92+X89+X83+X77+X75+X68+X70+X66+X64+X60+X53+X40+X26+X22+X13+X7</f>
        <v>12</v>
      </c>
      <c r="Y93" s="89">
        <f>Y92+Y89+Y83+Y77+Y75+Y68+Y70+Y66+Y64+Y60+Y53+Y40+Y26+Y22+Y13+Y7+20</f>
        <v>2697</v>
      </c>
      <c r="Z93" s="89">
        <f t="shared" ref="Z93:AM93" si="43">Z92+Z89+Z83+Z77+Z75+Z68+Z70+Z66+Z64+Z60+Z53+Z40+Z26+Z22+Z13+Z7</f>
        <v>339</v>
      </c>
      <c r="AA93" s="89">
        <f t="shared" si="43"/>
        <v>17</v>
      </c>
      <c r="AB93" s="89">
        <f t="shared" si="43"/>
        <v>9</v>
      </c>
      <c r="AC93" s="89">
        <f t="shared" si="43"/>
        <v>332</v>
      </c>
      <c r="AD93" s="89">
        <f t="shared" si="43"/>
        <v>3</v>
      </c>
      <c r="AE93" s="89">
        <f t="shared" si="43"/>
        <v>0</v>
      </c>
      <c r="AF93" s="89">
        <f t="shared" si="43"/>
        <v>0</v>
      </c>
      <c r="AG93" s="89">
        <f t="shared" si="43"/>
        <v>0</v>
      </c>
      <c r="AH93" s="89">
        <f t="shared" si="43"/>
        <v>0</v>
      </c>
      <c r="AI93" s="89">
        <f t="shared" si="43"/>
        <v>700</v>
      </c>
      <c r="AJ93" s="89">
        <f t="shared" si="43"/>
        <v>6</v>
      </c>
      <c r="AK93" s="89">
        <f t="shared" si="43"/>
        <v>9</v>
      </c>
      <c r="AL93" s="162">
        <f t="shared" si="43"/>
        <v>6</v>
      </c>
      <c r="AM93" s="163">
        <f t="shared" si="43"/>
        <v>3198</v>
      </c>
      <c r="AN93" s="89">
        <f>AN92+AN89+AN83+AN77+AN75+AN68+AN70+AN66+AN64+AN60+AN53+AN40+AN26+AN22+AN13+AN7+20</f>
        <v>220</v>
      </c>
      <c r="AO93" s="164">
        <f>AO92+AO89+AO83+AO77+AO75+AO68+AO70+AO66+AO64+AO60+AO53+AO40+AO26+AO22+AO13+AO7+20</f>
        <v>3418</v>
      </c>
    </row>
    <row r="94" spans="1:42" ht="17.25" thickBot="1" x14ac:dyDescent="0.35">
      <c r="A94" s="267"/>
      <c r="B94" s="245"/>
      <c r="C94" s="165"/>
      <c r="D94" s="133"/>
      <c r="E94" s="134"/>
      <c r="F94" s="94">
        <f t="shared" ref="F94:AN94" si="44">F93/$AO$93*100</f>
        <v>13.516676418958456</v>
      </c>
      <c r="G94" s="94">
        <f t="shared" si="44"/>
        <v>10.88355763604447</v>
      </c>
      <c r="H94" s="94">
        <f t="shared" si="44"/>
        <v>0.8777062609713282</v>
      </c>
      <c r="I94" s="94">
        <f t="shared" si="44"/>
        <v>0.20479812755997662</v>
      </c>
      <c r="J94" s="94">
        <f t="shared" si="44"/>
        <v>0</v>
      </c>
      <c r="K94" s="94">
        <f t="shared" si="44"/>
        <v>3.2182562902282039</v>
      </c>
      <c r="L94" s="166">
        <f t="shared" si="44"/>
        <v>28.700994733762435</v>
      </c>
      <c r="M94" s="94">
        <f t="shared" si="44"/>
        <v>22.557050906963134</v>
      </c>
      <c r="N94" s="94">
        <f t="shared" si="44"/>
        <v>15.447630193095376</v>
      </c>
      <c r="O94" s="94">
        <f t="shared" si="44"/>
        <v>0.17554125219426564</v>
      </c>
      <c r="P94" s="94">
        <f t="shared" si="44"/>
        <v>2.2820362785254535</v>
      </c>
      <c r="Q94" s="94">
        <f t="shared" si="44"/>
        <v>0.46811000585137508</v>
      </c>
      <c r="R94" s="94">
        <f t="shared" si="44"/>
        <v>3.7156231714452899</v>
      </c>
      <c r="S94" s="94">
        <f t="shared" si="44"/>
        <v>0.11702750146284377</v>
      </c>
      <c r="T94" s="94">
        <f t="shared" si="44"/>
        <v>1.2873025160912814</v>
      </c>
      <c r="U94" s="94">
        <f t="shared" si="44"/>
        <v>0.8777062609713282</v>
      </c>
      <c r="V94" s="166">
        <f t="shared" si="44"/>
        <v>46.928028086600349</v>
      </c>
      <c r="W94" s="94">
        <f t="shared" si="44"/>
        <v>2.9256875365710941</v>
      </c>
      <c r="X94" s="94">
        <f t="shared" si="44"/>
        <v>0.35108250438853128</v>
      </c>
      <c r="Y94" s="166">
        <f t="shared" si="44"/>
        <v>78.905792861322411</v>
      </c>
      <c r="Z94" s="94">
        <f t="shared" si="44"/>
        <v>9.9180807489760081</v>
      </c>
      <c r="AA94" s="94">
        <f t="shared" si="44"/>
        <v>0.497366881217086</v>
      </c>
      <c r="AB94" s="94">
        <f t="shared" si="44"/>
        <v>0.26331187829139846</v>
      </c>
      <c r="AC94" s="94">
        <f t="shared" si="44"/>
        <v>9.7132826214160328</v>
      </c>
      <c r="AD94" s="94">
        <f t="shared" si="44"/>
        <v>8.777062609713282E-2</v>
      </c>
      <c r="AE94" s="94">
        <f t="shared" si="44"/>
        <v>0</v>
      </c>
      <c r="AF94" s="94">
        <f t="shared" si="44"/>
        <v>0</v>
      </c>
      <c r="AG94" s="94">
        <f t="shared" si="44"/>
        <v>0</v>
      </c>
      <c r="AH94" s="94">
        <f t="shared" si="44"/>
        <v>0</v>
      </c>
      <c r="AI94" s="166">
        <f t="shared" si="44"/>
        <v>20.47981275599766</v>
      </c>
      <c r="AJ94" s="94">
        <f t="shared" si="44"/>
        <v>0.17554125219426564</v>
      </c>
      <c r="AK94" s="94">
        <f t="shared" si="44"/>
        <v>0.26331187829139846</v>
      </c>
      <c r="AL94" s="167">
        <f t="shared" si="44"/>
        <v>0.17554125219426564</v>
      </c>
      <c r="AM94" s="168">
        <f t="shared" si="44"/>
        <v>93.563487419543591</v>
      </c>
      <c r="AN94" s="94">
        <f t="shared" si="44"/>
        <v>6.4365125804564078</v>
      </c>
      <c r="AO94" s="169">
        <f>AO93/$AO$93*100</f>
        <v>100</v>
      </c>
    </row>
    <row r="95" spans="1:42" x14ac:dyDescent="0.3">
      <c r="W95" s="3"/>
      <c r="X95" s="5"/>
      <c r="Y95" s="5"/>
      <c r="Z95" s="3"/>
    </row>
  </sheetData>
  <autoFilter ref="A5:AP94"/>
  <mergeCells count="31">
    <mergeCell ref="A1:AO1"/>
    <mergeCell ref="A2:A5"/>
    <mergeCell ref="B2:B5"/>
    <mergeCell ref="C2:C5"/>
    <mergeCell ref="D2:D5"/>
    <mergeCell ref="E2:E5"/>
    <mergeCell ref="F2:Y2"/>
    <mergeCell ref="Z2:AI2"/>
    <mergeCell ref="AJ2:AL2"/>
    <mergeCell ref="AM2:AN4"/>
    <mergeCell ref="AO2:AO5"/>
    <mergeCell ref="F3:L3"/>
    <mergeCell ref="M3:V3"/>
    <mergeCell ref="W3:X3"/>
    <mergeCell ref="Y3:Y5"/>
    <mergeCell ref="Z3:AB3"/>
    <mergeCell ref="AC3:AE3"/>
    <mergeCell ref="AF3:AH3"/>
    <mergeCell ref="AI3:AI5"/>
    <mergeCell ref="AJ3:AL3"/>
    <mergeCell ref="Z4:AB4"/>
    <mergeCell ref="AC4:AE4"/>
    <mergeCell ref="AF4:AH4"/>
    <mergeCell ref="AK4:AL4"/>
    <mergeCell ref="V4:V5"/>
    <mergeCell ref="W4:X4"/>
    <mergeCell ref="A93:B94"/>
    <mergeCell ref="F4:K4"/>
    <mergeCell ref="L4:L5"/>
    <mergeCell ref="M4:Q4"/>
    <mergeCell ref="R4:U4"/>
  </mergeCells>
  <phoneticPr fontId="3" type="noConversion"/>
  <pageMargins left="0.70866141732283472" right="0.70866141732283472" top="0.74803149606299213" bottom="0.74803149606299213" header="0.31496062992125984" footer="0.31496062992125984"/>
  <pageSetup paperSize="8" scale="61" fitToHeight="0" orientation="landscape" r:id="rId1"/>
  <rowBreaks count="1" manualBreakCount="1">
    <brk id="60" max="4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  <pageSetUpPr fitToPage="1"/>
  </sheetPr>
  <dimension ref="A1:AK94"/>
  <sheetViews>
    <sheetView zoomScaleNormal="100" workbookViewId="0">
      <pane xSplit="5" ySplit="5" topLeftCell="F54" activePane="bottomRight" state="frozen"/>
      <selection pane="topRight" activeCell="M1" sqref="M1"/>
      <selection pane="bottomLeft" activeCell="A6" sqref="A6"/>
      <selection pane="bottomRight" activeCell="A69" sqref="A69"/>
    </sheetView>
  </sheetViews>
  <sheetFormatPr defaultRowHeight="16.5" x14ac:dyDescent="0.3"/>
  <cols>
    <col min="1" max="1" width="16.625" customWidth="1"/>
    <col min="2" max="2" width="23.75" style="3" customWidth="1"/>
    <col min="3" max="6" width="7.625" customWidth="1"/>
    <col min="7" max="7" width="10.375" bestFit="1" customWidth="1"/>
    <col min="8" max="8" width="10.5" bestFit="1" customWidth="1"/>
    <col min="9" max="9" width="10.375" bestFit="1" customWidth="1"/>
    <col min="10" max="10" width="8.75" bestFit="1" customWidth="1"/>
    <col min="11" max="11" width="9.25" bestFit="1" customWidth="1"/>
    <col min="12" max="12" width="7.25" bestFit="1" customWidth="1"/>
    <col min="13" max="14" width="8.75" bestFit="1" customWidth="1"/>
    <col min="15" max="15" width="10.375" bestFit="1" customWidth="1"/>
    <col min="16" max="16" width="12" bestFit="1" customWidth="1"/>
    <col min="17" max="19" width="10.375" bestFit="1" customWidth="1"/>
    <col min="20" max="20" width="12" bestFit="1" customWidth="1"/>
    <col min="21" max="23" width="10.375" bestFit="1" customWidth="1"/>
    <col min="24" max="24" width="8.25" bestFit="1" customWidth="1"/>
    <col min="25" max="26" width="10.375" bestFit="1" customWidth="1"/>
    <col min="27" max="27" width="8.25" bestFit="1" customWidth="1"/>
    <col min="28" max="28" width="12.75" bestFit="1" customWidth="1"/>
    <col min="29" max="29" width="13.25" bestFit="1" customWidth="1"/>
    <col min="30" max="30" width="9.5" bestFit="1" customWidth="1"/>
    <col min="31" max="31" width="10.625" bestFit="1" customWidth="1"/>
    <col min="32" max="32" width="9.5" bestFit="1" customWidth="1"/>
    <col min="33" max="33" width="7.25" bestFit="1" customWidth="1"/>
    <col min="34" max="35" width="8.75" bestFit="1" customWidth="1"/>
    <col min="36" max="36" width="8.25" bestFit="1" customWidth="1"/>
  </cols>
  <sheetData>
    <row r="1" spans="1:36" ht="27" thickBot="1" x14ac:dyDescent="0.35">
      <c r="A1" s="323" t="s">
        <v>156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4"/>
      <c r="AC1" s="324"/>
      <c r="AD1" s="324"/>
      <c r="AE1" s="324"/>
      <c r="AF1" s="324"/>
      <c r="AG1" s="324"/>
      <c r="AH1" s="324"/>
      <c r="AI1" s="324"/>
      <c r="AJ1" s="324"/>
    </row>
    <row r="2" spans="1:36" ht="16.5" customHeight="1" x14ac:dyDescent="0.3">
      <c r="A2" s="239" t="s">
        <v>0</v>
      </c>
      <c r="B2" s="325" t="s">
        <v>1</v>
      </c>
      <c r="C2" s="327" t="s">
        <v>146</v>
      </c>
      <c r="D2" s="330" t="s">
        <v>145</v>
      </c>
      <c r="E2" s="333" t="s">
        <v>157</v>
      </c>
      <c r="F2" s="336" t="s">
        <v>158</v>
      </c>
      <c r="G2" s="239" t="s">
        <v>2</v>
      </c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338" t="s">
        <v>3</v>
      </c>
      <c r="AC2" s="338"/>
      <c r="AD2" s="338"/>
      <c r="AE2" s="338"/>
      <c r="AF2" s="338"/>
      <c r="AG2" s="338"/>
      <c r="AH2" s="239" t="s">
        <v>4</v>
      </c>
      <c r="AI2" s="239"/>
      <c r="AJ2" s="262" t="s">
        <v>5</v>
      </c>
    </row>
    <row r="3" spans="1:36" ht="16.5" customHeight="1" x14ac:dyDescent="0.3">
      <c r="A3" s="239"/>
      <c r="B3" s="325"/>
      <c r="C3" s="328"/>
      <c r="D3" s="331"/>
      <c r="E3" s="334"/>
      <c r="F3" s="337"/>
      <c r="G3" s="239" t="s">
        <v>6</v>
      </c>
      <c r="H3" s="239"/>
      <c r="I3" s="239"/>
      <c r="J3" s="239"/>
      <c r="K3" s="239"/>
      <c r="L3" s="239"/>
      <c r="M3" s="239" t="s">
        <v>7</v>
      </c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 t="s">
        <v>8</v>
      </c>
      <c r="Z3" s="239"/>
      <c r="AA3" s="262" t="s">
        <v>9</v>
      </c>
      <c r="AB3" s="239" t="s">
        <v>10</v>
      </c>
      <c r="AC3" s="239"/>
      <c r="AD3" s="239"/>
      <c r="AE3" s="239" t="s">
        <v>11</v>
      </c>
      <c r="AF3" s="239"/>
      <c r="AG3" s="262" t="s">
        <v>12</v>
      </c>
      <c r="AH3" s="239"/>
      <c r="AI3" s="239"/>
      <c r="AJ3" s="239"/>
    </row>
    <row r="4" spans="1:36" x14ac:dyDescent="0.3">
      <c r="A4" s="239"/>
      <c r="B4" s="325"/>
      <c r="C4" s="328"/>
      <c r="D4" s="331"/>
      <c r="E4" s="334"/>
      <c r="F4" s="337"/>
      <c r="G4" s="239" t="s">
        <v>13</v>
      </c>
      <c r="H4" s="239"/>
      <c r="I4" s="239"/>
      <c r="J4" s="239"/>
      <c r="K4" s="239"/>
      <c r="L4" s="321" t="s">
        <v>14</v>
      </c>
      <c r="M4" s="239" t="s">
        <v>13</v>
      </c>
      <c r="N4" s="239"/>
      <c r="O4" s="239"/>
      <c r="P4" s="239"/>
      <c r="Q4" s="239"/>
      <c r="R4" s="239"/>
      <c r="S4" s="243" t="s">
        <v>15</v>
      </c>
      <c r="T4" s="243"/>
      <c r="U4" s="243"/>
      <c r="V4" s="243"/>
      <c r="W4" s="243"/>
      <c r="X4" s="321" t="s">
        <v>16</v>
      </c>
      <c r="Y4" s="239" t="s">
        <v>13</v>
      </c>
      <c r="Z4" s="239"/>
      <c r="AA4" s="239"/>
      <c r="AB4" s="239" t="s">
        <v>13</v>
      </c>
      <c r="AC4" s="239"/>
      <c r="AD4" s="239"/>
      <c r="AE4" s="239" t="s">
        <v>13</v>
      </c>
      <c r="AF4" s="239"/>
      <c r="AG4" s="239"/>
      <c r="AH4" s="239"/>
      <c r="AI4" s="239"/>
      <c r="AJ4" s="239"/>
    </row>
    <row r="5" spans="1:36" ht="43.5" customHeight="1" thickBot="1" x14ac:dyDescent="0.35">
      <c r="A5" s="320"/>
      <c r="B5" s="326"/>
      <c r="C5" s="329"/>
      <c r="D5" s="332"/>
      <c r="E5" s="335"/>
      <c r="F5" s="337"/>
      <c r="G5" s="1" t="s">
        <v>120</v>
      </c>
      <c r="H5" s="1" t="s">
        <v>121</v>
      </c>
      <c r="I5" s="2" t="s">
        <v>159</v>
      </c>
      <c r="J5" s="10" t="s">
        <v>19</v>
      </c>
      <c r="K5" s="2" t="s">
        <v>17</v>
      </c>
      <c r="L5" s="322"/>
      <c r="M5" s="1" t="s">
        <v>18</v>
      </c>
      <c r="N5" s="10" t="s">
        <v>19</v>
      </c>
      <c r="O5" s="2" t="s">
        <v>20</v>
      </c>
      <c r="P5" s="10" t="s">
        <v>21</v>
      </c>
      <c r="Q5" s="2" t="s">
        <v>22</v>
      </c>
      <c r="R5" s="2" t="s">
        <v>23</v>
      </c>
      <c r="S5" s="2" t="s">
        <v>24</v>
      </c>
      <c r="T5" s="2" t="s">
        <v>25</v>
      </c>
      <c r="U5" s="2" t="s">
        <v>26</v>
      </c>
      <c r="V5" s="2" t="s">
        <v>27</v>
      </c>
      <c r="W5" s="1" t="s">
        <v>28</v>
      </c>
      <c r="X5" s="322"/>
      <c r="Y5" s="2" t="s">
        <v>23</v>
      </c>
      <c r="Z5" s="2" t="s">
        <v>29</v>
      </c>
      <c r="AA5" s="320"/>
      <c r="AB5" s="2" t="s">
        <v>30</v>
      </c>
      <c r="AC5" s="10" t="s">
        <v>160</v>
      </c>
      <c r="AD5" s="2" t="s">
        <v>31</v>
      </c>
      <c r="AE5" s="2" t="s">
        <v>30</v>
      </c>
      <c r="AF5" s="2" t="s">
        <v>31</v>
      </c>
      <c r="AG5" s="320"/>
      <c r="AH5" s="2" t="s">
        <v>32</v>
      </c>
      <c r="AI5" s="2" t="s">
        <v>33</v>
      </c>
      <c r="AJ5" s="320"/>
    </row>
    <row r="6" spans="1:36" x14ac:dyDescent="0.3">
      <c r="A6" s="11" t="s">
        <v>34</v>
      </c>
      <c r="B6" s="12" t="s">
        <v>35</v>
      </c>
      <c r="C6" s="13">
        <v>85</v>
      </c>
      <c r="D6" s="14"/>
      <c r="E6" s="15">
        <v>85</v>
      </c>
      <c r="F6" s="16">
        <v>85</v>
      </c>
      <c r="G6" s="14">
        <v>11</v>
      </c>
      <c r="H6" s="14">
        <v>7</v>
      </c>
      <c r="I6" s="14"/>
      <c r="J6" s="14"/>
      <c r="K6" s="14">
        <v>2</v>
      </c>
      <c r="L6" s="17">
        <v>20</v>
      </c>
      <c r="M6" s="14">
        <v>25</v>
      </c>
      <c r="N6" s="14">
        <v>11</v>
      </c>
      <c r="O6" s="14"/>
      <c r="P6" s="14">
        <v>2</v>
      </c>
      <c r="Q6" s="14"/>
      <c r="R6" s="14"/>
      <c r="S6" s="14"/>
      <c r="T6" s="14"/>
      <c r="U6" s="14"/>
      <c r="V6" s="14"/>
      <c r="W6" s="14"/>
      <c r="X6" s="17">
        <v>38</v>
      </c>
      <c r="Y6" s="14"/>
      <c r="Z6" s="14"/>
      <c r="AA6" s="17">
        <v>58</v>
      </c>
      <c r="AB6" s="14"/>
      <c r="AC6" s="14"/>
      <c r="AD6" s="14"/>
      <c r="AE6" s="14">
        <v>27</v>
      </c>
      <c r="AF6" s="14"/>
      <c r="AG6" s="17">
        <v>27</v>
      </c>
      <c r="AH6" s="14">
        <v>85</v>
      </c>
      <c r="AI6" s="14">
        <v>0</v>
      </c>
      <c r="AJ6" s="18">
        <v>85</v>
      </c>
    </row>
    <row r="7" spans="1:36" s="23" customFormat="1" ht="17.25" thickBot="1" x14ac:dyDescent="0.35">
      <c r="A7" s="314" t="s">
        <v>36</v>
      </c>
      <c r="B7" s="315"/>
      <c r="C7" s="19">
        <v>85</v>
      </c>
      <c r="D7" s="20">
        <v>0</v>
      </c>
      <c r="E7" s="21">
        <v>85</v>
      </c>
      <c r="F7" s="22">
        <v>85</v>
      </c>
      <c r="G7" s="20">
        <v>11</v>
      </c>
      <c r="H7" s="20">
        <v>7</v>
      </c>
      <c r="I7" s="20">
        <v>0</v>
      </c>
      <c r="J7" s="20">
        <v>0</v>
      </c>
      <c r="K7" s="20">
        <v>2</v>
      </c>
      <c r="L7" s="20">
        <v>20</v>
      </c>
      <c r="M7" s="20">
        <v>25</v>
      </c>
      <c r="N7" s="20">
        <v>11</v>
      </c>
      <c r="O7" s="20">
        <v>0</v>
      </c>
      <c r="P7" s="20">
        <v>2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38</v>
      </c>
      <c r="Y7" s="20">
        <v>0</v>
      </c>
      <c r="Z7" s="20">
        <v>0</v>
      </c>
      <c r="AA7" s="20">
        <v>58</v>
      </c>
      <c r="AB7" s="20">
        <v>0</v>
      </c>
      <c r="AC7" s="20">
        <v>0</v>
      </c>
      <c r="AD7" s="20">
        <v>0</v>
      </c>
      <c r="AE7" s="20">
        <v>27</v>
      </c>
      <c r="AF7" s="20">
        <v>0</v>
      </c>
      <c r="AG7" s="20">
        <v>27</v>
      </c>
      <c r="AH7" s="20">
        <v>85</v>
      </c>
      <c r="AI7" s="20">
        <v>0</v>
      </c>
      <c r="AJ7" s="21">
        <v>85</v>
      </c>
    </row>
    <row r="8" spans="1:36" x14ac:dyDescent="0.3">
      <c r="A8" s="11" t="s">
        <v>37</v>
      </c>
      <c r="B8" s="24" t="s">
        <v>38</v>
      </c>
      <c r="C8" s="13">
        <v>188</v>
      </c>
      <c r="D8" s="14">
        <v>1</v>
      </c>
      <c r="E8" s="15">
        <v>189</v>
      </c>
      <c r="F8" s="16">
        <v>189</v>
      </c>
      <c r="G8" s="25">
        <v>37</v>
      </c>
      <c r="H8" s="25">
        <v>17</v>
      </c>
      <c r="I8" s="25"/>
      <c r="J8" s="25"/>
      <c r="K8" s="14">
        <v>9</v>
      </c>
      <c r="L8" s="17">
        <v>63</v>
      </c>
      <c r="M8" s="25">
        <v>42</v>
      </c>
      <c r="N8" s="25">
        <v>23</v>
      </c>
      <c r="O8" s="25"/>
      <c r="P8" s="25"/>
      <c r="Q8" s="25">
        <v>9</v>
      </c>
      <c r="R8" s="25"/>
      <c r="S8" s="25">
        <v>4</v>
      </c>
      <c r="T8" s="25"/>
      <c r="U8" s="25">
        <v>7</v>
      </c>
      <c r="V8" s="26" t="s">
        <v>39</v>
      </c>
      <c r="W8" s="25"/>
      <c r="X8" s="27">
        <v>85</v>
      </c>
      <c r="Y8" s="25"/>
      <c r="Z8" s="25"/>
      <c r="AA8" s="27">
        <v>148</v>
      </c>
      <c r="AB8" s="25">
        <v>52</v>
      </c>
      <c r="AC8" s="25"/>
      <c r="AD8" s="25"/>
      <c r="AE8" s="25"/>
      <c r="AF8" s="25"/>
      <c r="AG8" s="27">
        <v>52</v>
      </c>
      <c r="AH8" s="25">
        <v>189</v>
      </c>
      <c r="AI8" s="25">
        <v>11</v>
      </c>
      <c r="AJ8" s="28">
        <v>200</v>
      </c>
    </row>
    <row r="9" spans="1:36" x14ac:dyDescent="0.3">
      <c r="A9" s="29" t="s">
        <v>37</v>
      </c>
      <c r="B9" s="30" t="s">
        <v>40</v>
      </c>
      <c r="C9" s="31">
        <v>71</v>
      </c>
      <c r="D9" s="32"/>
      <c r="E9" s="33">
        <v>71</v>
      </c>
      <c r="F9" s="34">
        <v>71</v>
      </c>
      <c r="G9" s="35">
        <v>15</v>
      </c>
      <c r="H9" s="32">
        <v>7</v>
      </c>
      <c r="I9" s="32"/>
      <c r="J9" s="32"/>
      <c r="K9" s="32">
        <v>2</v>
      </c>
      <c r="L9" s="36">
        <v>24</v>
      </c>
      <c r="M9" s="35">
        <v>16</v>
      </c>
      <c r="N9" s="35">
        <v>11</v>
      </c>
      <c r="O9" s="35"/>
      <c r="P9" s="35"/>
      <c r="Q9" s="35">
        <v>3</v>
      </c>
      <c r="R9" s="35"/>
      <c r="S9" s="35">
        <v>3</v>
      </c>
      <c r="T9" s="35"/>
      <c r="U9" s="35"/>
      <c r="V9" s="37" t="s">
        <v>39</v>
      </c>
      <c r="W9" s="35"/>
      <c r="X9" s="38">
        <v>33</v>
      </c>
      <c r="Y9" s="35"/>
      <c r="Z9" s="35"/>
      <c r="AA9" s="38">
        <v>57</v>
      </c>
      <c r="AB9" s="35">
        <v>17</v>
      </c>
      <c r="AC9" s="35"/>
      <c r="AD9" s="35"/>
      <c r="AE9" s="35"/>
      <c r="AF9" s="35"/>
      <c r="AG9" s="38">
        <v>17</v>
      </c>
      <c r="AH9" s="35">
        <v>71</v>
      </c>
      <c r="AI9" s="35">
        <v>3</v>
      </c>
      <c r="AJ9" s="39">
        <v>74</v>
      </c>
    </row>
    <row r="10" spans="1:36" x14ac:dyDescent="0.3">
      <c r="A10" s="29" t="s">
        <v>37</v>
      </c>
      <c r="B10" s="30" t="s">
        <v>41</v>
      </c>
      <c r="C10" s="31">
        <v>30</v>
      </c>
      <c r="D10" s="32"/>
      <c r="E10" s="33">
        <v>30</v>
      </c>
      <c r="F10" s="34">
        <v>30</v>
      </c>
      <c r="G10" s="32">
        <v>7</v>
      </c>
      <c r="H10" s="32">
        <v>4</v>
      </c>
      <c r="I10" s="32"/>
      <c r="J10" s="32"/>
      <c r="K10" s="32">
        <v>2</v>
      </c>
      <c r="L10" s="36">
        <v>13</v>
      </c>
      <c r="M10" s="35">
        <v>6</v>
      </c>
      <c r="N10" s="35">
        <v>4</v>
      </c>
      <c r="O10" s="35"/>
      <c r="P10" s="35"/>
      <c r="Q10" s="35">
        <v>2</v>
      </c>
      <c r="R10" s="35"/>
      <c r="S10" s="35">
        <v>2</v>
      </c>
      <c r="T10" s="35"/>
      <c r="U10" s="35">
        <v>2</v>
      </c>
      <c r="V10" s="37" t="s">
        <v>42</v>
      </c>
      <c r="W10" s="35"/>
      <c r="X10" s="38">
        <v>16</v>
      </c>
      <c r="Y10" s="35"/>
      <c r="Z10" s="35"/>
      <c r="AA10" s="38">
        <v>29</v>
      </c>
      <c r="AB10" s="35">
        <v>5</v>
      </c>
      <c r="AC10" s="35"/>
      <c r="AD10" s="35"/>
      <c r="AE10" s="35"/>
      <c r="AF10" s="35"/>
      <c r="AG10" s="38">
        <v>5</v>
      </c>
      <c r="AH10" s="35">
        <v>30</v>
      </c>
      <c r="AI10" s="35">
        <v>4</v>
      </c>
      <c r="AJ10" s="39">
        <v>34</v>
      </c>
    </row>
    <row r="11" spans="1:36" x14ac:dyDescent="0.3">
      <c r="A11" s="29" t="s">
        <v>37</v>
      </c>
      <c r="B11" s="30" t="s">
        <v>43</v>
      </c>
      <c r="C11" s="31">
        <v>49</v>
      </c>
      <c r="D11" s="32"/>
      <c r="E11" s="33">
        <v>49</v>
      </c>
      <c r="F11" s="34">
        <v>49</v>
      </c>
      <c r="G11" s="32">
        <v>12</v>
      </c>
      <c r="H11" s="32">
        <v>5</v>
      </c>
      <c r="I11" s="32"/>
      <c r="J11" s="32"/>
      <c r="K11" s="32">
        <v>3</v>
      </c>
      <c r="L11" s="36">
        <v>20</v>
      </c>
      <c r="M11" s="35">
        <v>9</v>
      </c>
      <c r="N11" s="35">
        <v>8</v>
      </c>
      <c r="O11" s="35"/>
      <c r="P11" s="35"/>
      <c r="Q11" s="35">
        <v>3</v>
      </c>
      <c r="R11" s="35"/>
      <c r="S11" s="35">
        <v>2</v>
      </c>
      <c r="T11" s="35"/>
      <c r="U11" s="35">
        <v>3</v>
      </c>
      <c r="V11" s="37" t="s">
        <v>39</v>
      </c>
      <c r="W11" s="35"/>
      <c r="X11" s="38">
        <v>25</v>
      </c>
      <c r="Y11" s="35"/>
      <c r="Z11" s="35"/>
      <c r="AA11" s="38">
        <v>45</v>
      </c>
      <c r="AB11" s="35">
        <v>9</v>
      </c>
      <c r="AC11" s="35"/>
      <c r="AD11" s="35"/>
      <c r="AE11" s="35"/>
      <c r="AF11" s="35"/>
      <c r="AG11" s="38">
        <v>9</v>
      </c>
      <c r="AH11" s="35">
        <v>49</v>
      </c>
      <c r="AI11" s="35">
        <v>5</v>
      </c>
      <c r="AJ11" s="39">
        <v>54</v>
      </c>
    </row>
    <row r="12" spans="1:36" x14ac:dyDescent="0.3">
      <c r="A12" s="29" t="s">
        <v>37</v>
      </c>
      <c r="B12" s="30" t="s">
        <v>161</v>
      </c>
      <c r="C12" s="31">
        <v>38</v>
      </c>
      <c r="D12" s="32"/>
      <c r="E12" s="33">
        <v>38</v>
      </c>
      <c r="F12" s="34">
        <v>38</v>
      </c>
      <c r="G12" s="32"/>
      <c r="H12" s="32"/>
      <c r="I12" s="32"/>
      <c r="J12" s="32"/>
      <c r="K12" s="32"/>
      <c r="L12" s="36">
        <v>0</v>
      </c>
      <c r="M12" s="35">
        <v>16</v>
      </c>
      <c r="N12" s="35">
        <v>11</v>
      </c>
      <c r="O12" s="35"/>
      <c r="P12" s="35"/>
      <c r="Q12" s="35"/>
      <c r="R12" s="35"/>
      <c r="S12" s="35"/>
      <c r="T12" s="35"/>
      <c r="U12" s="35"/>
      <c r="V12" s="37"/>
      <c r="W12" s="35"/>
      <c r="X12" s="38">
        <v>27</v>
      </c>
      <c r="Y12" s="35"/>
      <c r="Z12" s="35"/>
      <c r="AA12" s="38">
        <v>27</v>
      </c>
      <c r="AB12" s="35">
        <v>11</v>
      </c>
      <c r="AC12" s="35"/>
      <c r="AD12" s="35"/>
      <c r="AE12" s="35"/>
      <c r="AF12" s="35"/>
      <c r="AG12" s="38">
        <v>11</v>
      </c>
      <c r="AH12" s="35">
        <v>38</v>
      </c>
      <c r="AI12" s="35">
        <v>0</v>
      </c>
      <c r="AJ12" s="39">
        <v>38</v>
      </c>
    </row>
    <row r="13" spans="1:36" s="23" customFormat="1" ht="17.25" thickBot="1" x14ac:dyDescent="0.35">
      <c r="A13" s="314" t="s">
        <v>36</v>
      </c>
      <c r="B13" s="315"/>
      <c r="C13" s="19">
        <v>376</v>
      </c>
      <c r="D13" s="20">
        <v>1</v>
      </c>
      <c r="E13" s="21">
        <v>377</v>
      </c>
      <c r="F13" s="22">
        <v>377</v>
      </c>
      <c r="G13" s="20">
        <v>71</v>
      </c>
      <c r="H13" s="20">
        <v>33</v>
      </c>
      <c r="I13" s="20">
        <v>0</v>
      </c>
      <c r="J13" s="20">
        <v>0</v>
      </c>
      <c r="K13" s="20">
        <v>16</v>
      </c>
      <c r="L13" s="20">
        <v>120</v>
      </c>
      <c r="M13" s="20">
        <v>89</v>
      </c>
      <c r="N13" s="20">
        <v>57</v>
      </c>
      <c r="O13" s="20">
        <v>0</v>
      </c>
      <c r="P13" s="20">
        <v>0</v>
      </c>
      <c r="Q13" s="20">
        <v>17</v>
      </c>
      <c r="R13" s="20">
        <v>0</v>
      </c>
      <c r="S13" s="20">
        <v>11</v>
      </c>
      <c r="T13" s="20">
        <v>0</v>
      </c>
      <c r="U13" s="20">
        <v>12</v>
      </c>
      <c r="V13" s="20">
        <v>0</v>
      </c>
      <c r="W13" s="20">
        <v>0</v>
      </c>
      <c r="X13" s="20">
        <v>186</v>
      </c>
      <c r="Y13" s="20">
        <v>0</v>
      </c>
      <c r="Z13" s="20">
        <v>0</v>
      </c>
      <c r="AA13" s="20">
        <v>306</v>
      </c>
      <c r="AB13" s="20">
        <v>94</v>
      </c>
      <c r="AC13" s="20">
        <v>0</v>
      </c>
      <c r="AD13" s="20">
        <v>0</v>
      </c>
      <c r="AE13" s="20">
        <v>0</v>
      </c>
      <c r="AF13" s="20">
        <v>0</v>
      </c>
      <c r="AG13" s="20">
        <v>94</v>
      </c>
      <c r="AH13" s="20">
        <v>377</v>
      </c>
      <c r="AI13" s="20">
        <v>23</v>
      </c>
      <c r="AJ13" s="21">
        <v>400</v>
      </c>
    </row>
    <row r="14" spans="1:36" s="49" customFormat="1" ht="19.5" customHeight="1" x14ac:dyDescent="0.3">
      <c r="A14" s="40" t="s">
        <v>44</v>
      </c>
      <c r="B14" s="41" t="s">
        <v>162</v>
      </c>
      <c r="C14" s="42">
        <v>43</v>
      </c>
      <c r="D14" s="43"/>
      <c r="E14" s="44">
        <v>43</v>
      </c>
      <c r="F14" s="45">
        <v>43</v>
      </c>
      <c r="G14" s="46">
        <v>10</v>
      </c>
      <c r="H14" s="46">
        <v>4</v>
      </c>
      <c r="I14" s="46"/>
      <c r="J14" s="46"/>
      <c r="K14" s="46">
        <v>2</v>
      </c>
      <c r="L14" s="47">
        <v>16</v>
      </c>
      <c r="M14" s="46">
        <v>9</v>
      </c>
      <c r="N14" s="46">
        <v>9</v>
      </c>
      <c r="O14" s="46"/>
      <c r="P14" s="46"/>
      <c r="Q14" s="46"/>
      <c r="R14" s="46"/>
      <c r="S14" s="46">
        <v>2</v>
      </c>
      <c r="T14" s="46"/>
      <c r="U14" s="46">
        <v>2</v>
      </c>
      <c r="V14" s="46"/>
      <c r="W14" s="46"/>
      <c r="X14" s="47">
        <v>22</v>
      </c>
      <c r="Y14" s="46"/>
      <c r="Z14" s="46"/>
      <c r="AA14" s="47">
        <v>38</v>
      </c>
      <c r="AB14" s="46"/>
      <c r="AC14" s="46"/>
      <c r="AD14" s="46"/>
      <c r="AE14" s="46">
        <v>9</v>
      </c>
      <c r="AF14" s="46"/>
      <c r="AG14" s="47">
        <v>9</v>
      </c>
      <c r="AH14" s="46">
        <v>43</v>
      </c>
      <c r="AI14" s="46">
        <v>4</v>
      </c>
      <c r="AJ14" s="48">
        <v>47</v>
      </c>
    </row>
    <row r="15" spans="1:36" x14ac:dyDescent="0.3">
      <c r="A15" s="29" t="s">
        <v>44</v>
      </c>
      <c r="B15" s="30" t="s">
        <v>45</v>
      </c>
      <c r="C15" s="31">
        <v>6</v>
      </c>
      <c r="D15" s="32"/>
      <c r="E15" s="33">
        <v>6</v>
      </c>
      <c r="F15" s="34">
        <v>6</v>
      </c>
      <c r="G15" s="35"/>
      <c r="H15" s="35"/>
      <c r="I15" s="35"/>
      <c r="J15" s="35"/>
      <c r="K15" s="35"/>
      <c r="L15" s="38">
        <v>0</v>
      </c>
      <c r="M15" s="35"/>
      <c r="N15" s="35"/>
      <c r="O15" s="35">
        <v>6</v>
      </c>
      <c r="P15" s="35"/>
      <c r="Q15" s="35"/>
      <c r="R15" s="35"/>
      <c r="S15" s="35"/>
      <c r="T15" s="35"/>
      <c r="U15" s="35"/>
      <c r="V15" s="35"/>
      <c r="W15" s="35">
        <v>16</v>
      </c>
      <c r="X15" s="38">
        <v>22</v>
      </c>
      <c r="Y15" s="35"/>
      <c r="Z15" s="35"/>
      <c r="AA15" s="38">
        <v>22</v>
      </c>
      <c r="AB15" s="35"/>
      <c r="AC15" s="35"/>
      <c r="AD15" s="35"/>
      <c r="AE15" s="35"/>
      <c r="AF15" s="35"/>
      <c r="AG15" s="38">
        <v>0</v>
      </c>
      <c r="AH15" s="35">
        <v>6</v>
      </c>
      <c r="AI15" s="35">
        <v>16</v>
      </c>
      <c r="AJ15" s="48">
        <v>22</v>
      </c>
    </row>
    <row r="16" spans="1:36" x14ac:dyDescent="0.3">
      <c r="A16" s="29" t="s">
        <v>44</v>
      </c>
      <c r="B16" s="30" t="s">
        <v>163</v>
      </c>
      <c r="C16" s="31">
        <v>22</v>
      </c>
      <c r="D16" s="32"/>
      <c r="E16" s="33">
        <v>22</v>
      </c>
      <c r="F16" s="34">
        <v>22</v>
      </c>
      <c r="G16" s="35">
        <v>5</v>
      </c>
      <c r="H16" s="35">
        <v>3</v>
      </c>
      <c r="I16" s="35"/>
      <c r="J16" s="35"/>
      <c r="K16" s="35">
        <v>1</v>
      </c>
      <c r="L16" s="38">
        <v>9</v>
      </c>
      <c r="M16" s="35">
        <v>5</v>
      </c>
      <c r="N16" s="35">
        <v>3</v>
      </c>
      <c r="O16" s="35"/>
      <c r="P16" s="35"/>
      <c r="Q16" s="35"/>
      <c r="R16" s="35"/>
      <c r="S16" s="35">
        <v>2</v>
      </c>
      <c r="T16" s="35"/>
      <c r="U16" s="35">
        <v>2</v>
      </c>
      <c r="V16" s="35"/>
      <c r="W16" s="35"/>
      <c r="X16" s="38">
        <v>12</v>
      </c>
      <c r="Y16" s="35"/>
      <c r="Z16" s="35"/>
      <c r="AA16" s="38">
        <v>21</v>
      </c>
      <c r="AB16" s="35"/>
      <c r="AC16" s="35"/>
      <c r="AD16" s="35"/>
      <c r="AE16" s="35">
        <v>5</v>
      </c>
      <c r="AF16" s="35"/>
      <c r="AG16" s="38">
        <v>5</v>
      </c>
      <c r="AH16" s="35">
        <v>22</v>
      </c>
      <c r="AI16" s="35">
        <v>4</v>
      </c>
      <c r="AJ16" s="48">
        <v>26</v>
      </c>
    </row>
    <row r="17" spans="1:37" x14ac:dyDescent="0.3">
      <c r="A17" s="29" t="s">
        <v>44</v>
      </c>
      <c r="B17" s="30" t="s">
        <v>164</v>
      </c>
      <c r="C17" s="31">
        <v>31</v>
      </c>
      <c r="D17" s="32"/>
      <c r="E17" s="33">
        <v>31</v>
      </c>
      <c r="F17" s="34">
        <v>31</v>
      </c>
      <c r="G17" s="35">
        <v>6</v>
      </c>
      <c r="H17" s="35">
        <v>4</v>
      </c>
      <c r="I17" s="35"/>
      <c r="J17" s="35"/>
      <c r="K17" s="35">
        <v>2</v>
      </c>
      <c r="L17" s="38">
        <v>12</v>
      </c>
      <c r="M17" s="35">
        <v>6</v>
      </c>
      <c r="N17" s="35">
        <v>4</v>
      </c>
      <c r="O17" s="35"/>
      <c r="P17" s="35"/>
      <c r="Q17" s="35">
        <v>2</v>
      </c>
      <c r="R17" s="35"/>
      <c r="S17" s="35">
        <v>1</v>
      </c>
      <c r="T17" s="35"/>
      <c r="U17" s="35">
        <v>2</v>
      </c>
      <c r="V17" s="35"/>
      <c r="W17" s="35"/>
      <c r="X17" s="38">
        <v>15</v>
      </c>
      <c r="Y17" s="35"/>
      <c r="Z17" s="35"/>
      <c r="AA17" s="38">
        <v>27</v>
      </c>
      <c r="AB17" s="35"/>
      <c r="AC17" s="35"/>
      <c r="AD17" s="35"/>
      <c r="AE17" s="35">
        <v>7</v>
      </c>
      <c r="AF17" s="35"/>
      <c r="AG17" s="38">
        <v>7</v>
      </c>
      <c r="AH17" s="35">
        <v>31</v>
      </c>
      <c r="AI17" s="35">
        <v>3</v>
      </c>
      <c r="AJ17" s="48">
        <v>34</v>
      </c>
    </row>
    <row r="18" spans="1:37" x14ac:dyDescent="0.3">
      <c r="A18" s="40" t="s">
        <v>165</v>
      </c>
      <c r="B18" s="50" t="s">
        <v>166</v>
      </c>
      <c r="C18" s="31">
        <v>55</v>
      </c>
      <c r="D18" s="32"/>
      <c r="E18" s="33">
        <v>55</v>
      </c>
      <c r="F18" s="51">
        <v>55</v>
      </c>
      <c r="G18" s="35">
        <v>15</v>
      </c>
      <c r="H18" s="35">
        <v>7</v>
      </c>
      <c r="I18" s="35"/>
      <c r="J18" s="35"/>
      <c r="K18" s="35">
        <v>2</v>
      </c>
      <c r="L18" s="38">
        <v>24</v>
      </c>
      <c r="M18" s="35">
        <v>13</v>
      </c>
      <c r="N18" s="35">
        <v>10</v>
      </c>
      <c r="O18" s="35"/>
      <c r="P18" s="35"/>
      <c r="Q18" s="35">
        <v>2</v>
      </c>
      <c r="R18" s="35"/>
      <c r="S18" s="35">
        <v>2</v>
      </c>
      <c r="T18" s="35"/>
      <c r="U18" s="35">
        <v>3</v>
      </c>
      <c r="V18" s="35"/>
      <c r="W18" s="35"/>
      <c r="X18" s="38">
        <v>30</v>
      </c>
      <c r="Y18" s="35"/>
      <c r="Z18" s="35"/>
      <c r="AA18" s="38">
        <v>54</v>
      </c>
      <c r="AB18" s="35"/>
      <c r="AC18" s="35"/>
      <c r="AD18" s="35"/>
      <c r="AE18" s="35">
        <v>6</v>
      </c>
      <c r="AF18" s="35"/>
      <c r="AG18" s="38">
        <v>6</v>
      </c>
      <c r="AH18" s="35">
        <v>55</v>
      </c>
      <c r="AI18" s="35">
        <v>5</v>
      </c>
      <c r="AJ18" s="48">
        <v>60</v>
      </c>
    </row>
    <row r="19" spans="1:37" x14ac:dyDescent="0.3">
      <c r="A19" s="40" t="s">
        <v>165</v>
      </c>
      <c r="B19" s="50" t="s">
        <v>167</v>
      </c>
      <c r="C19" s="31">
        <v>23</v>
      </c>
      <c r="D19" s="32"/>
      <c r="E19" s="33">
        <v>23</v>
      </c>
      <c r="F19" s="34">
        <v>23</v>
      </c>
      <c r="G19" s="35">
        <v>6</v>
      </c>
      <c r="H19" s="35">
        <v>3</v>
      </c>
      <c r="I19" s="35"/>
      <c r="J19" s="35"/>
      <c r="K19" s="35">
        <v>1</v>
      </c>
      <c r="L19" s="38">
        <v>10</v>
      </c>
      <c r="M19" s="35">
        <v>6</v>
      </c>
      <c r="N19" s="35">
        <v>3</v>
      </c>
      <c r="O19" s="35"/>
      <c r="P19" s="35"/>
      <c r="Q19" s="35"/>
      <c r="R19" s="35"/>
      <c r="S19" s="35">
        <v>2</v>
      </c>
      <c r="T19" s="35"/>
      <c r="U19" s="52">
        <v>2</v>
      </c>
      <c r="V19" s="35"/>
      <c r="W19" s="35"/>
      <c r="X19" s="38">
        <v>13</v>
      </c>
      <c r="Y19" s="35"/>
      <c r="Z19" s="35"/>
      <c r="AA19" s="38">
        <v>23</v>
      </c>
      <c r="AB19" s="35"/>
      <c r="AC19" s="35"/>
      <c r="AD19" s="35"/>
      <c r="AE19" s="35">
        <v>4</v>
      </c>
      <c r="AF19" s="35"/>
      <c r="AG19" s="38">
        <v>4</v>
      </c>
      <c r="AH19" s="35">
        <v>23</v>
      </c>
      <c r="AI19" s="35">
        <v>4</v>
      </c>
      <c r="AJ19" s="48">
        <v>27</v>
      </c>
      <c r="AK19" t="s">
        <v>172</v>
      </c>
    </row>
    <row r="20" spans="1:37" x14ac:dyDescent="0.3">
      <c r="A20" s="40" t="s">
        <v>165</v>
      </c>
      <c r="B20" s="50" t="s">
        <v>168</v>
      </c>
      <c r="C20" s="31">
        <v>55</v>
      </c>
      <c r="D20" s="32"/>
      <c r="E20" s="33">
        <v>55</v>
      </c>
      <c r="F20" s="34">
        <v>55</v>
      </c>
      <c r="G20" s="35">
        <v>12</v>
      </c>
      <c r="H20" s="35">
        <v>8</v>
      </c>
      <c r="I20" s="35"/>
      <c r="J20" s="35"/>
      <c r="K20" s="35">
        <v>3</v>
      </c>
      <c r="L20" s="38">
        <v>23</v>
      </c>
      <c r="M20" s="35">
        <v>16</v>
      </c>
      <c r="N20" s="35">
        <v>7</v>
      </c>
      <c r="O20" s="35"/>
      <c r="P20" s="35"/>
      <c r="Q20" s="35">
        <v>3</v>
      </c>
      <c r="R20" s="35"/>
      <c r="S20" s="35">
        <v>2</v>
      </c>
      <c r="T20" s="35"/>
      <c r="U20" s="35"/>
      <c r="V20" s="35"/>
      <c r="W20" s="35"/>
      <c r="X20" s="38">
        <v>28</v>
      </c>
      <c r="Y20" s="35"/>
      <c r="Z20" s="35"/>
      <c r="AA20" s="38">
        <v>51</v>
      </c>
      <c r="AB20" s="35"/>
      <c r="AC20" s="35"/>
      <c r="AD20" s="35"/>
      <c r="AE20" s="35">
        <v>6</v>
      </c>
      <c r="AF20" s="35"/>
      <c r="AG20" s="38">
        <v>6</v>
      </c>
      <c r="AH20" s="35">
        <v>55</v>
      </c>
      <c r="AI20" s="35">
        <v>2</v>
      </c>
      <c r="AJ20" s="48">
        <v>57</v>
      </c>
    </row>
    <row r="21" spans="1:37" x14ac:dyDescent="0.3">
      <c r="A21" s="29" t="s">
        <v>44</v>
      </c>
      <c r="B21" s="30" t="s">
        <v>169</v>
      </c>
      <c r="C21" s="31">
        <v>26</v>
      </c>
      <c r="D21" s="32"/>
      <c r="E21" s="33">
        <v>26</v>
      </c>
      <c r="F21" s="34">
        <v>26</v>
      </c>
      <c r="G21" s="35"/>
      <c r="H21" s="35"/>
      <c r="I21" s="35"/>
      <c r="J21" s="35"/>
      <c r="K21" s="35"/>
      <c r="L21" s="38">
        <v>0</v>
      </c>
      <c r="M21" s="35">
        <v>13</v>
      </c>
      <c r="N21" s="35">
        <v>8</v>
      </c>
      <c r="O21" s="35"/>
      <c r="P21" s="35"/>
      <c r="Q21" s="35"/>
      <c r="R21" s="35"/>
      <c r="S21" s="35"/>
      <c r="T21" s="35"/>
      <c r="U21" s="35"/>
      <c r="V21" s="35"/>
      <c r="W21" s="35"/>
      <c r="X21" s="38">
        <v>21</v>
      </c>
      <c r="Y21" s="35"/>
      <c r="Z21" s="35"/>
      <c r="AA21" s="38">
        <v>21</v>
      </c>
      <c r="AB21" s="35"/>
      <c r="AC21" s="35"/>
      <c r="AD21" s="35"/>
      <c r="AE21" s="35">
        <v>5</v>
      </c>
      <c r="AF21" s="35"/>
      <c r="AG21" s="38">
        <v>5</v>
      </c>
      <c r="AH21" s="35">
        <v>26</v>
      </c>
      <c r="AI21" s="35">
        <v>0</v>
      </c>
      <c r="AJ21" s="48">
        <v>26</v>
      </c>
    </row>
    <row r="22" spans="1:37" s="23" customFormat="1" ht="17.25" thickBot="1" x14ac:dyDescent="0.35">
      <c r="A22" s="318" t="s">
        <v>36</v>
      </c>
      <c r="B22" s="319"/>
      <c r="C22" s="19">
        <v>261</v>
      </c>
      <c r="D22" s="20">
        <v>0</v>
      </c>
      <c r="E22" s="21">
        <v>261</v>
      </c>
      <c r="F22" s="22">
        <v>261</v>
      </c>
      <c r="G22" s="20">
        <v>54</v>
      </c>
      <c r="H22" s="20">
        <v>29</v>
      </c>
      <c r="I22" s="20">
        <v>0</v>
      </c>
      <c r="J22" s="20">
        <v>0</v>
      </c>
      <c r="K22" s="20">
        <v>11</v>
      </c>
      <c r="L22" s="20">
        <v>94</v>
      </c>
      <c r="M22" s="20">
        <v>68</v>
      </c>
      <c r="N22" s="20">
        <v>44</v>
      </c>
      <c r="O22" s="20">
        <v>6</v>
      </c>
      <c r="P22" s="20">
        <v>0</v>
      </c>
      <c r="Q22" s="20">
        <v>7</v>
      </c>
      <c r="R22" s="20">
        <v>0</v>
      </c>
      <c r="S22" s="20">
        <v>11</v>
      </c>
      <c r="T22" s="20">
        <v>0</v>
      </c>
      <c r="U22" s="20">
        <v>11</v>
      </c>
      <c r="V22" s="20">
        <v>0</v>
      </c>
      <c r="W22" s="20">
        <v>16</v>
      </c>
      <c r="X22" s="20">
        <v>163</v>
      </c>
      <c r="Y22" s="20">
        <v>0</v>
      </c>
      <c r="Z22" s="20">
        <v>0</v>
      </c>
      <c r="AA22" s="20">
        <v>257</v>
      </c>
      <c r="AB22" s="20">
        <v>0</v>
      </c>
      <c r="AC22" s="20">
        <v>0</v>
      </c>
      <c r="AD22" s="20">
        <v>0</v>
      </c>
      <c r="AE22" s="20">
        <v>42</v>
      </c>
      <c r="AF22" s="20">
        <v>0</v>
      </c>
      <c r="AG22" s="20">
        <v>42</v>
      </c>
      <c r="AH22" s="20">
        <v>261</v>
      </c>
      <c r="AI22" s="20">
        <v>38</v>
      </c>
      <c r="AJ22" s="21">
        <v>299</v>
      </c>
    </row>
    <row r="23" spans="1:37" x14ac:dyDescent="0.3">
      <c r="A23" s="11" t="s">
        <v>51</v>
      </c>
      <c r="B23" s="12" t="s">
        <v>52</v>
      </c>
      <c r="C23" s="13">
        <v>35</v>
      </c>
      <c r="D23" s="14"/>
      <c r="E23" s="15">
        <v>35</v>
      </c>
      <c r="F23" s="16">
        <v>35</v>
      </c>
      <c r="G23" s="14">
        <v>7</v>
      </c>
      <c r="H23" s="14">
        <v>4</v>
      </c>
      <c r="I23" s="14"/>
      <c r="J23" s="14"/>
      <c r="K23" s="14">
        <v>1</v>
      </c>
      <c r="L23" s="17">
        <v>12</v>
      </c>
      <c r="M23" s="14">
        <v>8</v>
      </c>
      <c r="N23" s="14">
        <v>6</v>
      </c>
      <c r="O23" s="14"/>
      <c r="P23" s="14"/>
      <c r="Q23" s="14">
        <v>1</v>
      </c>
      <c r="R23" s="14"/>
      <c r="S23" s="14">
        <v>2</v>
      </c>
      <c r="T23" s="14"/>
      <c r="U23" s="14">
        <v>2</v>
      </c>
      <c r="V23" s="14"/>
      <c r="W23" s="14"/>
      <c r="X23" s="17">
        <v>19</v>
      </c>
      <c r="Y23" s="14"/>
      <c r="Z23" s="14"/>
      <c r="AA23" s="17">
        <v>31</v>
      </c>
      <c r="AB23" s="14">
        <v>8</v>
      </c>
      <c r="AC23" s="14"/>
      <c r="AD23" s="14"/>
      <c r="AE23" s="14"/>
      <c r="AF23" s="14"/>
      <c r="AG23" s="17">
        <v>8</v>
      </c>
      <c r="AH23" s="14">
        <v>35</v>
      </c>
      <c r="AI23" s="14">
        <v>4</v>
      </c>
      <c r="AJ23" s="18">
        <v>39</v>
      </c>
    </row>
    <row r="24" spans="1:37" x14ac:dyDescent="0.3">
      <c r="A24" s="29" t="s">
        <v>51</v>
      </c>
      <c r="B24" s="53" t="s">
        <v>53</v>
      </c>
      <c r="C24" s="31">
        <v>41</v>
      </c>
      <c r="D24" s="32"/>
      <c r="E24" s="33">
        <v>41</v>
      </c>
      <c r="F24" s="34">
        <v>41</v>
      </c>
      <c r="G24" s="32">
        <v>9</v>
      </c>
      <c r="H24" s="32">
        <v>4</v>
      </c>
      <c r="I24" s="32"/>
      <c r="J24" s="32"/>
      <c r="K24" s="32">
        <v>2</v>
      </c>
      <c r="L24" s="36">
        <v>15</v>
      </c>
      <c r="M24" s="32">
        <v>10</v>
      </c>
      <c r="N24" s="32">
        <v>6</v>
      </c>
      <c r="O24" s="32"/>
      <c r="P24" s="32"/>
      <c r="Q24" s="32">
        <v>2</v>
      </c>
      <c r="R24" s="32"/>
      <c r="S24" s="32">
        <v>2</v>
      </c>
      <c r="T24" s="32"/>
      <c r="U24" s="32">
        <v>2</v>
      </c>
      <c r="V24" s="32"/>
      <c r="W24" s="32"/>
      <c r="X24" s="36">
        <v>22</v>
      </c>
      <c r="Y24" s="32"/>
      <c r="Z24" s="32"/>
      <c r="AA24" s="36">
        <v>37</v>
      </c>
      <c r="AB24" s="32">
        <v>8</v>
      </c>
      <c r="AC24" s="32"/>
      <c r="AD24" s="32"/>
      <c r="AE24" s="32"/>
      <c r="AF24" s="32"/>
      <c r="AG24" s="36">
        <v>8</v>
      </c>
      <c r="AH24" s="32">
        <v>41</v>
      </c>
      <c r="AI24" s="32">
        <v>4</v>
      </c>
      <c r="AJ24" s="54">
        <v>45</v>
      </c>
    </row>
    <row r="25" spans="1:37" x14ac:dyDescent="0.3">
      <c r="A25" s="29" t="s">
        <v>51</v>
      </c>
      <c r="B25" s="53" t="s">
        <v>54</v>
      </c>
      <c r="C25" s="31">
        <v>47</v>
      </c>
      <c r="D25" s="32"/>
      <c r="E25" s="33">
        <v>47</v>
      </c>
      <c r="F25" s="34">
        <v>47</v>
      </c>
      <c r="G25" s="32">
        <v>10</v>
      </c>
      <c r="H25" s="32">
        <v>5</v>
      </c>
      <c r="I25" s="32"/>
      <c r="J25" s="32"/>
      <c r="K25" s="32">
        <v>2</v>
      </c>
      <c r="L25" s="36">
        <v>17</v>
      </c>
      <c r="M25" s="32">
        <v>11</v>
      </c>
      <c r="N25" s="32">
        <v>6</v>
      </c>
      <c r="O25" s="32"/>
      <c r="P25" s="32"/>
      <c r="Q25" s="32">
        <v>2</v>
      </c>
      <c r="R25" s="32"/>
      <c r="S25" s="32">
        <v>2</v>
      </c>
      <c r="T25" s="32"/>
      <c r="U25" s="32">
        <v>2</v>
      </c>
      <c r="V25" s="32"/>
      <c r="W25" s="32"/>
      <c r="X25" s="36">
        <v>23</v>
      </c>
      <c r="Y25" s="32"/>
      <c r="Z25" s="32"/>
      <c r="AA25" s="36">
        <v>40</v>
      </c>
      <c r="AB25" s="32">
        <v>11</v>
      </c>
      <c r="AC25" s="32"/>
      <c r="AD25" s="32"/>
      <c r="AE25" s="32"/>
      <c r="AF25" s="32"/>
      <c r="AG25" s="36">
        <v>11</v>
      </c>
      <c r="AH25" s="32">
        <v>47</v>
      </c>
      <c r="AI25" s="32">
        <v>4</v>
      </c>
      <c r="AJ25" s="54">
        <v>51</v>
      </c>
    </row>
    <row r="26" spans="1:37" s="23" customFormat="1" ht="17.25" thickBot="1" x14ac:dyDescent="0.35">
      <c r="A26" s="314" t="s">
        <v>36</v>
      </c>
      <c r="B26" s="315"/>
      <c r="C26" s="19">
        <v>123</v>
      </c>
      <c r="D26" s="20">
        <v>0</v>
      </c>
      <c r="E26" s="21">
        <v>123</v>
      </c>
      <c r="F26" s="22">
        <v>123</v>
      </c>
      <c r="G26" s="20">
        <v>26</v>
      </c>
      <c r="H26" s="20">
        <v>13</v>
      </c>
      <c r="I26" s="20">
        <v>0</v>
      </c>
      <c r="J26" s="20">
        <v>0</v>
      </c>
      <c r="K26" s="20">
        <v>5</v>
      </c>
      <c r="L26" s="20">
        <v>44</v>
      </c>
      <c r="M26" s="20">
        <v>29</v>
      </c>
      <c r="N26" s="20">
        <v>18</v>
      </c>
      <c r="O26" s="20">
        <v>0</v>
      </c>
      <c r="P26" s="20">
        <v>0</v>
      </c>
      <c r="Q26" s="20">
        <v>5</v>
      </c>
      <c r="R26" s="20">
        <v>0</v>
      </c>
      <c r="S26" s="20">
        <v>6</v>
      </c>
      <c r="T26" s="20">
        <v>0</v>
      </c>
      <c r="U26" s="20">
        <v>6</v>
      </c>
      <c r="V26" s="20">
        <v>0</v>
      </c>
      <c r="W26" s="20">
        <v>0</v>
      </c>
      <c r="X26" s="20">
        <v>64</v>
      </c>
      <c r="Y26" s="20">
        <v>0</v>
      </c>
      <c r="Z26" s="20">
        <v>0</v>
      </c>
      <c r="AA26" s="20">
        <v>108</v>
      </c>
      <c r="AB26" s="20">
        <v>27</v>
      </c>
      <c r="AC26" s="20">
        <v>0</v>
      </c>
      <c r="AD26" s="20">
        <v>0</v>
      </c>
      <c r="AE26" s="20">
        <v>0</v>
      </c>
      <c r="AF26" s="20">
        <v>0</v>
      </c>
      <c r="AG26" s="20">
        <v>27</v>
      </c>
      <c r="AH26" s="20">
        <v>123</v>
      </c>
      <c r="AI26" s="20">
        <v>12</v>
      </c>
      <c r="AJ26" s="21">
        <v>135</v>
      </c>
    </row>
    <row r="27" spans="1:37" x14ac:dyDescent="0.3">
      <c r="A27" s="11" t="s">
        <v>55</v>
      </c>
      <c r="B27" s="12" t="s">
        <v>56</v>
      </c>
      <c r="C27" s="13">
        <v>24</v>
      </c>
      <c r="D27" s="14"/>
      <c r="E27" s="15">
        <v>24</v>
      </c>
      <c r="F27" s="16">
        <v>24</v>
      </c>
      <c r="G27" s="25">
        <v>5</v>
      </c>
      <c r="H27" s="25">
        <v>3</v>
      </c>
      <c r="I27" s="25"/>
      <c r="J27" s="25"/>
      <c r="K27" s="25">
        <v>2</v>
      </c>
      <c r="L27" s="27">
        <v>10</v>
      </c>
      <c r="M27" s="25">
        <v>4</v>
      </c>
      <c r="N27" s="25">
        <v>4</v>
      </c>
      <c r="O27" s="25"/>
      <c r="P27" s="25"/>
      <c r="Q27" s="25"/>
      <c r="R27" s="25"/>
      <c r="S27" s="25">
        <v>2</v>
      </c>
      <c r="T27" s="25"/>
      <c r="U27" s="25"/>
      <c r="V27" s="26" t="s">
        <v>39</v>
      </c>
      <c r="W27" s="25"/>
      <c r="X27" s="27">
        <v>10</v>
      </c>
      <c r="Y27" s="25"/>
      <c r="Z27" s="25"/>
      <c r="AA27" s="27">
        <v>20</v>
      </c>
      <c r="AB27" s="25">
        <v>6</v>
      </c>
      <c r="AC27" s="25"/>
      <c r="AD27" s="25"/>
      <c r="AE27" s="25"/>
      <c r="AF27" s="25"/>
      <c r="AG27" s="27">
        <v>6</v>
      </c>
      <c r="AH27" s="25">
        <v>24</v>
      </c>
      <c r="AI27" s="25">
        <v>2</v>
      </c>
      <c r="AJ27" s="28">
        <v>26</v>
      </c>
    </row>
    <row r="28" spans="1:37" x14ac:dyDescent="0.3">
      <c r="A28" s="29" t="s">
        <v>55</v>
      </c>
      <c r="B28" s="53" t="s">
        <v>57</v>
      </c>
      <c r="C28" s="31">
        <v>112</v>
      </c>
      <c r="D28" s="32"/>
      <c r="E28" s="33">
        <v>112</v>
      </c>
      <c r="F28" s="34">
        <v>112</v>
      </c>
      <c r="G28" s="35">
        <v>16</v>
      </c>
      <c r="H28" s="35">
        <v>8</v>
      </c>
      <c r="I28" s="35"/>
      <c r="J28" s="35"/>
      <c r="K28" s="35">
        <v>3</v>
      </c>
      <c r="L28" s="38">
        <v>27</v>
      </c>
      <c r="M28" s="35">
        <v>32</v>
      </c>
      <c r="N28" s="35">
        <v>20</v>
      </c>
      <c r="O28" s="35"/>
      <c r="P28" s="35"/>
      <c r="Q28" s="35">
        <v>5</v>
      </c>
      <c r="R28" s="35"/>
      <c r="S28" s="35">
        <v>4</v>
      </c>
      <c r="T28" s="35"/>
      <c r="U28" s="35">
        <v>3</v>
      </c>
      <c r="V28" s="37" t="s">
        <v>39</v>
      </c>
      <c r="W28" s="35"/>
      <c r="X28" s="38">
        <v>64</v>
      </c>
      <c r="Y28" s="35"/>
      <c r="Z28" s="35"/>
      <c r="AA28" s="38">
        <v>91</v>
      </c>
      <c r="AB28" s="35">
        <v>28</v>
      </c>
      <c r="AC28" s="35"/>
      <c r="AD28" s="35"/>
      <c r="AE28" s="35"/>
      <c r="AF28" s="35"/>
      <c r="AG28" s="38">
        <v>28</v>
      </c>
      <c r="AH28" s="35">
        <v>112</v>
      </c>
      <c r="AI28" s="35">
        <v>7</v>
      </c>
      <c r="AJ28" s="39">
        <v>119</v>
      </c>
    </row>
    <row r="29" spans="1:37" x14ac:dyDescent="0.3">
      <c r="A29" s="40" t="s">
        <v>55</v>
      </c>
      <c r="B29" s="55" t="s">
        <v>141</v>
      </c>
      <c r="C29" s="31">
        <v>100</v>
      </c>
      <c r="D29" s="32"/>
      <c r="E29" s="33">
        <v>100</v>
      </c>
      <c r="F29" s="34">
        <v>100</v>
      </c>
      <c r="G29" s="35">
        <v>18</v>
      </c>
      <c r="H29" s="35">
        <v>8</v>
      </c>
      <c r="I29" s="35"/>
      <c r="J29" s="35"/>
      <c r="K29" s="35">
        <v>3</v>
      </c>
      <c r="L29" s="38">
        <v>29</v>
      </c>
      <c r="M29" s="35">
        <v>25</v>
      </c>
      <c r="N29" s="35">
        <v>17</v>
      </c>
      <c r="O29" s="35"/>
      <c r="P29" s="35"/>
      <c r="Q29" s="35">
        <v>4</v>
      </c>
      <c r="R29" s="35"/>
      <c r="S29" s="35">
        <v>5</v>
      </c>
      <c r="T29" s="35"/>
      <c r="U29" s="35">
        <v>2</v>
      </c>
      <c r="V29" s="37" t="s">
        <v>39</v>
      </c>
      <c r="W29" s="35"/>
      <c r="X29" s="38">
        <v>53</v>
      </c>
      <c r="Y29" s="35"/>
      <c r="Z29" s="35"/>
      <c r="AA29" s="38">
        <v>82</v>
      </c>
      <c r="AB29" s="35">
        <v>25</v>
      </c>
      <c r="AC29" s="35"/>
      <c r="AD29" s="35"/>
      <c r="AE29" s="35"/>
      <c r="AF29" s="35"/>
      <c r="AG29" s="38">
        <v>25</v>
      </c>
      <c r="AH29" s="35">
        <v>100</v>
      </c>
      <c r="AI29" s="35">
        <v>7</v>
      </c>
      <c r="AJ29" s="39">
        <v>107</v>
      </c>
    </row>
    <row r="30" spans="1:37" x14ac:dyDescent="0.3">
      <c r="A30" s="40" t="s">
        <v>55</v>
      </c>
      <c r="B30" s="55" t="s">
        <v>58</v>
      </c>
      <c r="C30" s="31">
        <v>40</v>
      </c>
      <c r="D30" s="32"/>
      <c r="E30" s="33">
        <v>40</v>
      </c>
      <c r="F30" s="34">
        <v>40</v>
      </c>
      <c r="G30" s="35">
        <v>8</v>
      </c>
      <c r="H30" s="35">
        <v>4</v>
      </c>
      <c r="I30" s="35"/>
      <c r="J30" s="35"/>
      <c r="K30" s="35">
        <v>2</v>
      </c>
      <c r="L30" s="38">
        <v>14</v>
      </c>
      <c r="M30" s="35">
        <v>12</v>
      </c>
      <c r="N30" s="35">
        <v>8</v>
      </c>
      <c r="O30" s="35"/>
      <c r="P30" s="35"/>
      <c r="Q30" s="35"/>
      <c r="R30" s="35"/>
      <c r="S30" s="35">
        <v>2</v>
      </c>
      <c r="T30" s="35"/>
      <c r="U30" s="35"/>
      <c r="V30" s="37" t="s">
        <v>39</v>
      </c>
      <c r="W30" s="35"/>
      <c r="X30" s="38">
        <v>22</v>
      </c>
      <c r="Y30" s="35"/>
      <c r="Z30" s="35"/>
      <c r="AA30" s="38">
        <v>36</v>
      </c>
      <c r="AB30" s="35">
        <v>6</v>
      </c>
      <c r="AC30" s="35"/>
      <c r="AD30" s="35"/>
      <c r="AE30" s="35"/>
      <c r="AF30" s="35"/>
      <c r="AG30" s="38">
        <v>6</v>
      </c>
      <c r="AH30" s="35">
        <v>40</v>
      </c>
      <c r="AI30" s="35">
        <v>2</v>
      </c>
      <c r="AJ30" s="39">
        <v>42</v>
      </c>
    </row>
    <row r="31" spans="1:37" x14ac:dyDescent="0.3">
      <c r="A31" s="40" t="s">
        <v>55</v>
      </c>
      <c r="B31" s="55" t="s">
        <v>170</v>
      </c>
      <c r="C31" s="31">
        <v>29</v>
      </c>
      <c r="D31" s="32"/>
      <c r="E31" s="33">
        <v>29</v>
      </c>
      <c r="F31" s="34">
        <v>29</v>
      </c>
      <c r="G31" s="35">
        <v>5</v>
      </c>
      <c r="H31" s="35">
        <v>3</v>
      </c>
      <c r="I31" s="35"/>
      <c r="J31" s="35"/>
      <c r="K31" s="35">
        <v>1</v>
      </c>
      <c r="L31" s="38">
        <v>9</v>
      </c>
      <c r="M31" s="35">
        <v>7</v>
      </c>
      <c r="N31" s="35">
        <v>5</v>
      </c>
      <c r="O31" s="35"/>
      <c r="P31" s="35"/>
      <c r="Q31" s="35">
        <v>2</v>
      </c>
      <c r="R31" s="35"/>
      <c r="S31" s="35">
        <v>1</v>
      </c>
      <c r="T31" s="35"/>
      <c r="U31" s="35"/>
      <c r="V31" s="37" t="s">
        <v>39</v>
      </c>
      <c r="W31" s="35"/>
      <c r="X31" s="38">
        <v>15</v>
      </c>
      <c r="Y31" s="35"/>
      <c r="Z31" s="35"/>
      <c r="AA31" s="38">
        <v>24</v>
      </c>
      <c r="AB31" s="35">
        <v>6</v>
      </c>
      <c r="AC31" s="35"/>
      <c r="AD31" s="35"/>
      <c r="AE31" s="35"/>
      <c r="AF31" s="35"/>
      <c r="AG31" s="38">
        <v>6</v>
      </c>
      <c r="AH31" s="35">
        <v>29</v>
      </c>
      <c r="AI31" s="35">
        <v>1</v>
      </c>
      <c r="AJ31" s="39">
        <v>30</v>
      </c>
    </row>
    <row r="32" spans="1:37" x14ac:dyDescent="0.3">
      <c r="A32" s="40" t="s">
        <v>55</v>
      </c>
      <c r="B32" s="55" t="s">
        <v>171</v>
      </c>
      <c r="C32" s="31">
        <v>34</v>
      </c>
      <c r="D32" s="32"/>
      <c r="E32" s="33">
        <v>34</v>
      </c>
      <c r="F32" s="34">
        <v>34</v>
      </c>
      <c r="G32" s="35">
        <v>6</v>
      </c>
      <c r="H32" s="35">
        <v>3</v>
      </c>
      <c r="I32" s="35"/>
      <c r="J32" s="35"/>
      <c r="K32" s="35">
        <v>2</v>
      </c>
      <c r="L32" s="38">
        <v>11</v>
      </c>
      <c r="M32" s="35">
        <v>8</v>
      </c>
      <c r="N32" s="35">
        <v>6</v>
      </c>
      <c r="O32" s="35"/>
      <c r="P32" s="35"/>
      <c r="Q32" s="35">
        <v>2</v>
      </c>
      <c r="R32" s="35"/>
      <c r="S32" s="35">
        <v>1</v>
      </c>
      <c r="T32" s="35"/>
      <c r="U32" s="35"/>
      <c r="V32" s="37" t="s">
        <v>39</v>
      </c>
      <c r="W32" s="35"/>
      <c r="X32" s="38">
        <v>17</v>
      </c>
      <c r="Y32" s="35"/>
      <c r="Z32" s="35"/>
      <c r="AA32" s="38">
        <v>28</v>
      </c>
      <c r="AB32" s="35">
        <v>7</v>
      </c>
      <c r="AC32" s="35"/>
      <c r="AD32" s="35"/>
      <c r="AE32" s="35"/>
      <c r="AF32" s="35"/>
      <c r="AG32" s="38">
        <v>7</v>
      </c>
      <c r="AH32" s="35">
        <v>34</v>
      </c>
      <c r="AI32" s="35">
        <v>1</v>
      </c>
      <c r="AJ32" s="39">
        <v>35</v>
      </c>
    </row>
    <row r="33" spans="1:36" x14ac:dyDescent="0.3">
      <c r="A33" s="40" t="s">
        <v>55</v>
      </c>
      <c r="B33" s="55" t="s">
        <v>60</v>
      </c>
      <c r="C33" s="31">
        <v>68</v>
      </c>
      <c r="D33" s="32"/>
      <c r="E33" s="33">
        <v>68</v>
      </c>
      <c r="F33" s="34">
        <v>68</v>
      </c>
      <c r="G33" s="35">
        <v>12</v>
      </c>
      <c r="H33" s="35">
        <v>5</v>
      </c>
      <c r="I33" s="35"/>
      <c r="J33" s="35"/>
      <c r="K33" s="35">
        <v>2</v>
      </c>
      <c r="L33" s="38">
        <v>19</v>
      </c>
      <c r="M33" s="35">
        <v>18</v>
      </c>
      <c r="N33" s="35">
        <v>12</v>
      </c>
      <c r="O33" s="35"/>
      <c r="P33" s="35"/>
      <c r="Q33" s="35">
        <v>2</v>
      </c>
      <c r="R33" s="35"/>
      <c r="S33" s="35">
        <v>4</v>
      </c>
      <c r="T33" s="35"/>
      <c r="U33" s="35"/>
      <c r="V33" s="37" t="s">
        <v>39</v>
      </c>
      <c r="W33" s="35"/>
      <c r="X33" s="38">
        <v>36</v>
      </c>
      <c r="Y33" s="35"/>
      <c r="Z33" s="35"/>
      <c r="AA33" s="38">
        <v>55</v>
      </c>
      <c r="AB33" s="35">
        <v>17</v>
      </c>
      <c r="AC33" s="35"/>
      <c r="AD33" s="35"/>
      <c r="AE33" s="35"/>
      <c r="AF33" s="35"/>
      <c r="AG33" s="38">
        <v>17</v>
      </c>
      <c r="AH33" s="35">
        <v>68</v>
      </c>
      <c r="AI33" s="35">
        <v>4</v>
      </c>
      <c r="AJ33" s="39">
        <v>72</v>
      </c>
    </row>
    <row r="34" spans="1:36" x14ac:dyDescent="0.3">
      <c r="A34" s="40" t="s">
        <v>55</v>
      </c>
      <c r="B34" s="55" t="s">
        <v>61</v>
      </c>
      <c r="C34" s="31">
        <v>36</v>
      </c>
      <c r="D34" s="32"/>
      <c r="E34" s="33">
        <v>36</v>
      </c>
      <c r="F34" s="34">
        <v>36</v>
      </c>
      <c r="G34" s="35"/>
      <c r="H34" s="35"/>
      <c r="I34" s="35"/>
      <c r="J34" s="35"/>
      <c r="K34" s="35"/>
      <c r="L34" s="38">
        <v>0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8">
        <v>0</v>
      </c>
      <c r="Y34" s="35">
        <v>36</v>
      </c>
      <c r="Z34" s="35"/>
      <c r="AA34" s="38">
        <v>36</v>
      </c>
      <c r="AB34" s="35"/>
      <c r="AC34" s="35"/>
      <c r="AD34" s="35"/>
      <c r="AE34" s="35"/>
      <c r="AF34" s="35"/>
      <c r="AG34" s="38">
        <v>0</v>
      </c>
      <c r="AH34" s="35">
        <v>36</v>
      </c>
      <c r="AI34" s="35">
        <v>0</v>
      </c>
      <c r="AJ34" s="39">
        <v>36</v>
      </c>
    </row>
    <row r="35" spans="1:36" x14ac:dyDescent="0.3">
      <c r="A35" s="29" t="s">
        <v>55</v>
      </c>
      <c r="B35" s="53" t="s">
        <v>62</v>
      </c>
      <c r="C35" s="31">
        <v>20</v>
      </c>
      <c r="D35" s="32"/>
      <c r="E35" s="33">
        <v>20</v>
      </c>
      <c r="F35" s="34">
        <v>20</v>
      </c>
      <c r="G35" s="35"/>
      <c r="H35" s="35"/>
      <c r="I35" s="35"/>
      <c r="J35" s="35"/>
      <c r="K35" s="35"/>
      <c r="L35" s="38">
        <v>0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8">
        <v>0</v>
      </c>
      <c r="Y35" s="35">
        <v>20</v>
      </c>
      <c r="Z35" s="35"/>
      <c r="AA35" s="38">
        <v>20</v>
      </c>
      <c r="AB35" s="35"/>
      <c r="AC35" s="35"/>
      <c r="AD35" s="35"/>
      <c r="AE35" s="35"/>
      <c r="AF35" s="35"/>
      <c r="AG35" s="38">
        <v>0</v>
      </c>
      <c r="AH35" s="35">
        <v>20</v>
      </c>
      <c r="AI35" s="35">
        <v>0</v>
      </c>
      <c r="AJ35" s="39">
        <v>20</v>
      </c>
    </row>
    <row r="36" spans="1:36" x14ac:dyDescent="0.3">
      <c r="A36" s="29" t="s">
        <v>55</v>
      </c>
      <c r="B36" s="53" t="s">
        <v>63</v>
      </c>
      <c r="C36" s="31">
        <v>24</v>
      </c>
      <c r="D36" s="32"/>
      <c r="E36" s="33">
        <v>24</v>
      </c>
      <c r="F36" s="34">
        <v>24</v>
      </c>
      <c r="G36" s="35"/>
      <c r="H36" s="35"/>
      <c r="I36" s="35"/>
      <c r="J36" s="35"/>
      <c r="K36" s="35"/>
      <c r="L36" s="38">
        <v>0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8">
        <v>0</v>
      </c>
      <c r="Y36" s="35">
        <v>17</v>
      </c>
      <c r="Z36" s="35"/>
      <c r="AA36" s="38">
        <v>17</v>
      </c>
      <c r="AB36" s="35"/>
      <c r="AC36" s="35"/>
      <c r="AD36" s="35">
        <v>7</v>
      </c>
      <c r="AE36" s="35"/>
      <c r="AF36" s="35"/>
      <c r="AG36" s="38">
        <v>7</v>
      </c>
      <c r="AH36" s="35">
        <v>24</v>
      </c>
      <c r="AI36" s="35">
        <v>0</v>
      </c>
      <c r="AJ36" s="39">
        <v>24</v>
      </c>
    </row>
    <row r="37" spans="1:36" x14ac:dyDescent="0.3">
      <c r="A37" s="29" t="s">
        <v>55</v>
      </c>
      <c r="B37" s="53" t="s">
        <v>64</v>
      </c>
      <c r="C37" s="31">
        <v>26</v>
      </c>
      <c r="D37" s="32"/>
      <c r="E37" s="33">
        <v>26</v>
      </c>
      <c r="F37" s="34">
        <v>26</v>
      </c>
      <c r="G37" s="35"/>
      <c r="H37" s="35"/>
      <c r="I37" s="35"/>
      <c r="J37" s="35"/>
      <c r="K37" s="35"/>
      <c r="L37" s="38">
        <v>0</v>
      </c>
      <c r="M37" s="35"/>
      <c r="N37" s="35"/>
      <c r="O37" s="35"/>
      <c r="P37" s="35"/>
      <c r="Q37" s="35"/>
      <c r="R37" s="35">
        <v>7</v>
      </c>
      <c r="S37" s="35"/>
      <c r="T37" s="35"/>
      <c r="U37" s="35"/>
      <c r="V37" s="35"/>
      <c r="W37" s="35"/>
      <c r="X37" s="38">
        <v>7</v>
      </c>
      <c r="Y37" s="35"/>
      <c r="Z37" s="35">
        <v>9</v>
      </c>
      <c r="AA37" s="38">
        <v>16</v>
      </c>
      <c r="AB37" s="35">
        <v>10</v>
      </c>
      <c r="AC37" s="35"/>
      <c r="AD37" s="35"/>
      <c r="AE37" s="35"/>
      <c r="AF37" s="35"/>
      <c r="AG37" s="38">
        <v>10</v>
      </c>
      <c r="AH37" s="35">
        <v>26</v>
      </c>
      <c r="AI37" s="35">
        <v>0</v>
      </c>
      <c r="AJ37" s="39">
        <v>26</v>
      </c>
    </row>
    <row r="38" spans="1:36" x14ac:dyDescent="0.3">
      <c r="A38" s="29" t="s">
        <v>55</v>
      </c>
      <c r="B38" s="53" t="s">
        <v>65</v>
      </c>
      <c r="C38" s="31">
        <v>29</v>
      </c>
      <c r="D38" s="32"/>
      <c r="E38" s="33">
        <v>29</v>
      </c>
      <c r="F38" s="34">
        <v>29</v>
      </c>
      <c r="G38" s="35"/>
      <c r="H38" s="35"/>
      <c r="I38" s="35"/>
      <c r="J38" s="35"/>
      <c r="K38" s="35"/>
      <c r="L38" s="38">
        <v>0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8">
        <v>0</v>
      </c>
      <c r="Y38" s="35">
        <v>29</v>
      </c>
      <c r="Z38" s="35"/>
      <c r="AA38" s="38">
        <v>29</v>
      </c>
      <c r="AB38" s="35"/>
      <c r="AC38" s="35"/>
      <c r="AD38" s="35"/>
      <c r="AE38" s="35"/>
      <c r="AF38" s="35"/>
      <c r="AG38" s="38">
        <v>0</v>
      </c>
      <c r="AH38" s="35">
        <v>29</v>
      </c>
      <c r="AI38" s="35">
        <v>0</v>
      </c>
      <c r="AJ38" s="39">
        <v>29</v>
      </c>
    </row>
    <row r="39" spans="1:36" x14ac:dyDescent="0.3">
      <c r="A39" s="29" t="s">
        <v>55</v>
      </c>
      <c r="B39" s="53" t="s">
        <v>66</v>
      </c>
      <c r="C39" s="31">
        <v>46</v>
      </c>
      <c r="D39" s="32"/>
      <c r="E39" s="33">
        <v>46</v>
      </c>
      <c r="F39" s="34">
        <v>46</v>
      </c>
      <c r="G39" s="35">
        <v>8</v>
      </c>
      <c r="H39" s="35">
        <v>4</v>
      </c>
      <c r="I39" s="35"/>
      <c r="J39" s="35"/>
      <c r="K39" s="35">
        <v>1</v>
      </c>
      <c r="L39" s="38">
        <v>13</v>
      </c>
      <c r="M39" s="35">
        <v>13</v>
      </c>
      <c r="N39" s="35">
        <v>7</v>
      </c>
      <c r="O39" s="35"/>
      <c r="P39" s="35"/>
      <c r="Q39" s="35"/>
      <c r="R39" s="35"/>
      <c r="S39" s="35">
        <v>2</v>
      </c>
      <c r="T39" s="35"/>
      <c r="U39" s="35">
        <v>2</v>
      </c>
      <c r="V39" s="35"/>
      <c r="W39" s="35"/>
      <c r="X39" s="38">
        <v>24</v>
      </c>
      <c r="Y39" s="35"/>
      <c r="Z39" s="35"/>
      <c r="AA39" s="38">
        <v>37</v>
      </c>
      <c r="AB39" s="35">
        <v>13</v>
      </c>
      <c r="AC39" s="35"/>
      <c r="AD39" s="35"/>
      <c r="AE39" s="35"/>
      <c r="AF39" s="35"/>
      <c r="AG39" s="38">
        <v>13</v>
      </c>
      <c r="AH39" s="35">
        <v>46</v>
      </c>
      <c r="AI39" s="35">
        <v>4</v>
      </c>
      <c r="AJ39" s="39">
        <v>50</v>
      </c>
    </row>
    <row r="40" spans="1:36" s="23" customFormat="1" ht="17.25" thickBot="1" x14ac:dyDescent="0.35">
      <c r="A40" s="314" t="s">
        <v>36</v>
      </c>
      <c r="B40" s="315"/>
      <c r="C40" s="19">
        <v>588</v>
      </c>
      <c r="D40" s="20">
        <v>0</v>
      </c>
      <c r="E40" s="21">
        <v>588</v>
      </c>
      <c r="F40" s="22">
        <v>588</v>
      </c>
      <c r="G40" s="20">
        <v>78</v>
      </c>
      <c r="H40" s="20">
        <v>38</v>
      </c>
      <c r="I40" s="20">
        <v>0</v>
      </c>
      <c r="J40" s="20">
        <v>0</v>
      </c>
      <c r="K40" s="20">
        <v>16</v>
      </c>
      <c r="L40" s="20">
        <v>132</v>
      </c>
      <c r="M40" s="20">
        <v>119</v>
      </c>
      <c r="N40" s="20">
        <v>79</v>
      </c>
      <c r="O40" s="20">
        <v>0</v>
      </c>
      <c r="P40" s="20">
        <v>0</v>
      </c>
      <c r="Q40" s="20">
        <v>15</v>
      </c>
      <c r="R40" s="20">
        <v>7</v>
      </c>
      <c r="S40" s="20">
        <v>21</v>
      </c>
      <c r="T40" s="20">
        <v>0</v>
      </c>
      <c r="U40" s="20">
        <v>7</v>
      </c>
      <c r="V40" s="20">
        <v>0</v>
      </c>
      <c r="W40" s="20">
        <v>0</v>
      </c>
      <c r="X40" s="20">
        <v>248</v>
      </c>
      <c r="Y40" s="20">
        <v>102</v>
      </c>
      <c r="Z40" s="20">
        <v>9</v>
      </c>
      <c r="AA40" s="20">
        <v>491</v>
      </c>
      <c r="AB40" s="20">
        <v>118</v>
      </c>
      <c r="AC40" s="20">
        <v>0</v>
      </c>
      <c r="AD40" s="20">
        <v>7</v>
      </c>
      <c r="AE40" s="20">
        <v>0</v>
      </c>
      <c r="AF40" s="20">
        <v>0</v>
      </c>
      <c r="AG40" s="20">
        <v>125</v>
      </c>
      <c r="AH40" s="20">
        <v>588</v>
      </c>
      <c r="AI40" s="20">
        <v>28</v>
      </c>
      <c r="AJ40" s="21">
        <v>616</v>
      </c>
    </row>
    <row r="41" spans="1:36" x14ac:dyDescent="0.3">
      <c r="A41" s="11" t="s">
        <v>67</v>
      </c>
      <c r="B41" s="12" t="s">
        <v>68</v>
      </c>
      <c r="C41" s="13">
        <v>14</v>
      </c>
      <c r="D41" s="14"/>
      <c r="E41" s="15">
        <v>14</v>
      </c>
      <c r="F41" s="16">
        <v>14</v>
      </c>
      <c r="G41" s="25"/>
      <c r="H41" s="25">
        <v>3</v>
      </c>
      <c r="I41" s="25"/>
      <c r="J41" s="25"/>
      <c r="K41" s="25">
        <v>1</v>
      </c>
      <c r="L41" s="27">
        <v>4</v>
      </c>
      <c r="M41" s="25">
        <v>3</v>
      </c>
      <c r="N41" s="25">
        <v>3</v>
      </c>
      <c r="O41" s="25"/>
      <c r="P41" s="25"/>
      <c r="Q41" s="25"/>
      <c r="R41" s="25"/>
      <c r="S41" s="25">
        <v>1</v>
      </c>
      <c r="T41" s="25"/>
      <c r="U41" s="25"/>
      <c r="V41" s="25">
        <v>1</v>
      </c>
      <c r="W41" s="25"/>
      <c r="X41" s="27">
        <v>8</v>
      </c>
      <c r="Y41" s="25"/>
      <c r="Z41" s="25"/>
      <c r="AA41" s="27">
        <v>12</v>
      </c>
      <c r="AB41" s="25"/>
      <c r="AC41" s="25"/>
      <c r="AD41" s="25"/>
      <c r="AE41" s="25">
        <v>4</v>
      </c>
      <c r="AF41" s="25"/>
      <c r="AG41" s="27">
        <v>4</v>
      </c>
      <c r="AH41" s="25">
        <v>14</v>
      </c>
      <c r="AI41" s="25">
        <v>2</v>
      </c>
      <c r="AJ41" s="28">
        <v>16</v>
      </c>
    </row>
    <row r="42" spans="1:36" x14ac:dyDescent="0.3">
      <c r="A42" s="29" t="s">
        <v>67</v>
      </c>
      <c r="B42" s="53" t="s">
        <v>69</v>
      </c>
      <c r="C42" s="31">
        <v>31</v>
      </c>
      <c r="D42" s="32"/>
      <c r="E42" s="33">
        <v>31</v>
      </c>
      <c r="F42" s="34">
        <v>31</v>
      </c>
      <c r="G42" s="35"/>
      <c r="H42" s="35">
        <v>9</v>
      </c>
      <c r="I42" s="35"/>
      <c r="J42" s="35"/>
      <c r="K42" s="35">
        <v>1</v>
      </c>
      <c r="L42" s="38">
        <v>10</v>
      </c>
      <c r="M42" s="35">
        <v>7</v>
      </c>
      <c r="N42" s="35">
        <v>4</v>
      </c>
      <c r="O42" s="35"/>
      <c r="P42" s="35"/>
      <c r="Q42" s="35"/>
      <c r="R42" s="35"/>
      <c r="S42" s="35">
        <v>2</v>
      </c>
      <c r="T42" s="35"/>
      <c r="U42" s="35"/>
      <c r="V42" s="35"/>
      <c r="W42" s="35"/>
      <c r="X42" s="38">
        <v>13</v>
      </c>
      <c r="Y42" s="35"/>
      <c r="Z42" s="35"/>
      <c r="AA42" s="38">
        <v>23</v>
      </c>
      <c r="AB42" s="35"/>
      <c r="AC42" s="35"/>
      <c r="AD42" s="35"/>
      <c r="AE42" s="35">
        <v>10</v>
      </c>
      <c r="AF42" s="35"/>
      <c r="AG42" s="38">
        <v>10</v>
      </c>
      <c r="AH42" s="35">
        <v>31</v>
      </c>
      <c r="AI42" s="35">
        <v>2</v>
      </c>
      <c r="AJ42" s="39">
        <v>33</v>
      </c>
    </row>
    <row r="43" spans="1:36" x14ac:dyDescent="0.3">
      <c r="A43" s="29" t="s">
        <v>67</v>
      </c>
      <c r="B43" s="53" t="s">
        <v>70</v>
      </c>
      <c r="C43" s="31">
        <v>16</v>
      </c>
      <c r="D43" s="32"/>
      <c r="E43" s="33">
        <v>16</v>
      </c>
      <c r="F43" s="34">
        <v>16</v>
      </c>
      <c r="G43" s="35"/>
      <c r="H43" s="35">
        <v>4</v>
      </c>
      <c r="I43" s="35"/>
      <c r="J43" s="35"/>
      <c r="K43" s="35">
        <v>1</v>
      </c>
      <c r="L43" s="38">
        <v>5</v>
      </c>
      <c r="M43" s="35">
        <v>3</v>
      </c>
      <c r="N43" s="35">
        <v>3</v>
      </c>
      <c r="O43" s="35"/>
      <c r="P43" s="35"/>
      <c r="Q43" s="35"/>
      <c r="R43" s="35"/>
      <c r="S43" s="35">
        <v>1</v>
      </c>
      <c r="T43" s="35"/>
      <c r="U43" s="35"/>
      <c r="V43" s="35">
        <v>1</v>
      </c>
      <c r="W43" s="35"/>
      <c r="X43" s="38">
        <v>8</v>
      </c>
      <c r="Y43" s="35"/>
      <c r="Z43" s="35"/>
      <c r="AA43" s="38">
        <v>13</v>
      </c>
      <c r="AB43" s="35"/>
      <c r="AC43" s="35"/>
      <c r="AD43" s="35"/>
      <c r="AE43" s="35">
        <v>5</v>
      </c>
      <c r="AF43" s="35"/>
      <c r="AG43" s="38">
        <v>5</v>
      </c>
      <c r="AH43" s="35">
        <v>16</v>
      </c>
      <c r="AI43" s="35">
        <v>2</v>
      </c>
      <c r="AJ43" s="39">
        <v>18</v>
      </c>
    </row>
    <row r="44" spans="1:36" x14ac:dyDescent="0.3">
      <c r="A44" s="29" t="s">
        <v>67</v>
      </c>
      <c r="B44" s="53" t="s">
        <v>71</v>
      </c>
      <c r="C44" s="31">
        <v>23</v>
      </c>
      <c r="D44" s="32"/>
      <c r="E44" s="33">
        <v>23</v>
      </c>
      <c r="F44" s="34">
        <v>23</v>
      </c>
      <c r="G44" s="35"/>
      <c r="H44" s="35">
        <v>5</v>
      </c>
      <c r="I44" s="35"/>
      <c r="J44" s="35"/>
      <c r="K44" s="35">
        <v>1</v>
      </c>
      <c r="L44" s="38">
        <v>6</v>
      </c>
      <c r="M44" s="35">
        <v>7</v>
      </c>
      <c r="N44" s="35">
        <v>4</v>
      </c>
      <c r="O44" s="35"/>
      <c r="P44" s="35"/>
      <c r="Q44" s="35"/>
      <c r="R44" s="35"/>
      <c r="S44" s="35">
        <v>2</v>
      </c>
      <c r="T44" s="35"/>
      <c r="U44" s="35"/>
      <c r="V44" s="35">
        <v>1</v>
      </c>
      <c r="W44" s="35"/>
      <c r="X44" s="38">
        <v>14</v>
      </c>
      <c r="Y44" s="35"/>
      <c r="Z44" s="35"/>
      <c r="AA44" s="38">
        <v>20</v>
      </c>
      <c r="AB44" s="35"/>
      <c r="AC44" s="35"/>
      <c r="AD44" s="35"/>
      <c r="AE44" s="35">
        <v>6</v>
      </c>
      <c r="AF44" s="35"/>
      <c r="AG44" s="38">
        <v>6</v>
      </c>
      <c r="AH44" s="35">
        <v>23</v>
      </c>
      <c r="AI44" s="35">
        <v>3</v>
      </c>
      <c r="AJ44" s="39">
        <v>26</v>
      </c>
    </row>
    <row r="45" spans="1:36" x14ac:dyDescent="0.3">
      <c r="A45" s="29" t="s">
        <v>67</v>
      </c>
      <c r="B45" s="53" t="s">
        <v>72</v>
      </c>
      <c r="C45" s="31">
        <v>16</v>
      </c>
      <c r="D45" s="32"/>
      <c r="E45" s="33">
        <v>16</v>
      </c>
      <c r="F45" s="34">
        <v>16</v>
      </c>
      <c r="G45" s="35"/>
      <c r="H45" s="35">
        <v>4</v>
      </c>
      <c r="I45" s="35"/>
      <c r="J45" s="35"/>
      <c r="K45" s="35">
        <v>1</v>
      </c>
      <c r="L45" s="38">
        <v>5</v>
      </c>
      <c r="M45" s="35">
        <v>4</v>
      </c>
      <c r="N45" s="35">
        <v>3</v>
      </c>
      <c r="O45" s="35"/>
      <c r="P45" s="35"/>
      <c r="Q45" s="35"/>
      <c r="R45" s="35"/>
      <c r="S45" s="35">
        <v>1</v>
      </c>
      <c r="T45" s="35"/>
      <c r="U45" s="35"/>
      <c r="V45" s="35">
        <v>1</v>
      </c>
      <c r="W45" s="35"/>
      <c r="X45" s="38">
        <v>9</v>
      </c>
      <c r="Y45" s="35"/>
      <c r="Z45" s="35"/>
      <c r="AA45" s="38">
        <v>14</v>
      </c>
      <c r="AB45" s="35"/>
      <c r="AC45" s="35"/>
      <c r="AD45" s="35"/>
      <c r="AE45" s="35">
        <v>4</v>
      </c>
      <c r="AF45" s="35"/>
      <c r="AG45" s="38">
        <v>4</v>
      </c>
      <c r="AH45" s="35">
        <v>16</v>
      </c>
      <c r="AI45" s="35">
        <v>2</v>
      </c>
      <c r="AJ45" s="39">
        <v>18</v>
      </c>
    </row>
    <row r="46" spans="1:36" x14ac:dyDescent="0.3">
      <c r="A46" s="29" t="s">
        <v>67</v>
      </c>
      <c r="B46" s="53" t="s">
        <v>73</v>
      </c>
      <c r="C46" s="31">
        <v>16</v>
      </c>
      <c r="D46" s="32"/>
      <c r="E46" s="33">
        <v>16</v>
      </c>
      <c r="F46" s="34">
        <v>16</v>
      </c>
      <c r="G46" s="35"/>
      <c r="H46" s="35">
        <v>4</v>
      </c>
      <c r="I46" s="35"/>
      <c r="J46" s="35"/>
      <c r="K46" s="35">
        <v>1</v>
      </c>
      <c r="L46" s="38">
        <v>5</v>
      </c>
      <c r="M46" s="35">
        <v>4</v>
      </c>
      <c r="N46" s="35">
        <v>3</v>
      </c>
      <c r="O46" s="35"/>
      <c r="P46" s="35"/>
      <c r="Q46" s="35"/>
      <c r="R46" s="35"/>
      <c r="S46" s="35">
        <v>1</v>
      </c>
      <c r="T46" s="35"/>
      <c r="U46" s="35"/>
      <c r="V46" s="35">
        <v>1</v>
      </c>
      <c r="W46" s="35"/>
      <c r="X46" s="38">
        <v>9</v>
      </c>
      <c r="Y46" s="35"/>
      <c r="Z46" s="35"/>
      <c r="AA46" s="38">
        <v>14</v>
      </c>
      <c r="AB46" s="35"/>
      <c r="AC46" s="35"/>
      <c r="AD46" s="35"/>
      <c r="AE46" s="35">
        <v>4</v>
      </c>
      <c r="AF46" s="35"/>
      <c r="AG46" s="38">
        <v>4</v>
      </c>
      <c r="AH46" s="35">
        <v>16</v>
      </c>
      <c r="AI46" s="35">
        <v>2</v>
      </c>
      <c r="AJ46" s="39">
        <v>18</v>
      </c>
    </row>
    <row r="47" spans="1:36" x14ac:dyDescent="0.3">
      <c r="A47" s="29" t="s">
        <v>67</v>
      </c>
      <c r="B47" s="53" t="s">
        <v>74</v>
      </c>
      <c r="C47" s="31">
        <v>16</v>
      </c>
      <c r="D47" s="32"/>
      <c r="E47" s="33">
        <v>16</v>
      </c>
      <c r="F47" s="34">
        <v>16</v>
      </c>
      <c r="G47" s="35"/>
      <c r="H47" s="35"/>
      <c r="I47" s="35"/>
      <c r="J47" s="35"/>
      <c r="K47" s="35">
        <v>1</v>
      </c>
      <c r="L47" s="38">
        <v>1</v>
      </c>
      <c r="M47" s="35">
        <v>8</v>
      </c>
      <c r="N47" s="35">
        <v>4</v>
      </c>
      <c r="O47" s="35"/>
      <c r="P47" s="35"/>
      <c r="Q47" s="35"/>
      <c r="R47" s="35"/>
      <c r="S47" s="35">
        <v>1</v>
      </c>
      <c r="T47" s="35"/>
      <c r="U47" s="35"/>
      <c r="V47" s="35">
        <v>1</v>
      </c>
      <c r="W47" s="35"/>
      <c r="X47" s="38">
        <v>14</v>
      </c>
      <c r="Y47" s="35"/>
      <c r="Z47" s="35"/>
      <c r="AA47" s="38">
        <v>15</v>
      </c>
      <c r="AB47" s="35"/>
      <c r="AC47" s="35"/>
      <c r="AD47" s="35"/>
      <c r="AE47" s="35">
        <v>3</v>
      </c>
      <c r="AF47" s="35"/>
      <c r="AG47" s="38">
        <v>3</v>
      </c>
      <c r="AH47" s="35">
        <v>16</v>
      </c>
      <c r="AI47" s="35">
        <v>2</v>
      </c>
      <c r="AJ47" s="39">
        <v>18</v>
      </c>
    </row>
    <row r="48" spans="1:36" x14ac:dyDescent="0.3">
      <c r="A48" s="29" t="s">
        <v>67</v>
      </c>
      <c r="B48" s="53" t="s">
        <v>75</v>
      </c>
      <c r="C48" s="31">
        <v>12</v>
      </c>
      <c r="D48" s="32"/>
      <c r="E48" s="33">
        <v>12</v>
      </c>
      <c r="F48" s="34">
        <v>12</v>
      </c>
      <c r="G48" s="35"/>
      <c r="H48" s="35">
        <v>4</v>
      </c>
      <c r="I48" s="35"/>
      <c r="J48" s="35"/>
      <c r="K48" s="35">
        <v>1</v>
      </c>
      <c r="L48" s="38">
        <v>5</v>
      </c>
      <c r="M48" s="35"/>
      <c r="N48" s="35">
        <v>3</v>
      </c>
      <c r="O48" s="35"/>
      <c r="P48" s="35"/>
      <c r="Q48" s="35"/>
      <c r="R48" s="35"/>
      <c r="S48" s="35">
        <v>1</v>
      </c>
      <c r="T48" s="35"/>
      <c r="U48" s="35"/>
      <c r="V48" s="35">
        <v>1</v>
      </c>
      <c r="W48" s="35"/>
      <c r="X48" s="38">
        <v>5</v>
      </c>
      <c r="Y48" s="35"/>
      <c r="Z48" s="35"/>
      <c r="AA48" s="38">
        <v>10</v>
      </c>
      <c r="AB48" s="35"/>
      <c r="AC48" s="35"/>
      <c r="AD48" s="35"/>
      <c r="AE48" s="35">
        <v>4</v>
      </c>
      <c r="AF48" s="35"/>
      <c r="AG48" s="38">
        <v>4</v>
      </c>
      <c r="AH48" s="35">
        <v>12</v>
      </c>
      <c r="AI48" s="35">
        <v>2</v>
      </c>
      <c r="AJ48" s="39">
        <v>14</v>
      </c>
    </row>
    <row r="49" spans="1:36" x14ac:dyDescent="0.3">
      <c r="A49" s="29" t="s">
        <v>67</v>
      </c>
      <c r="B49" s="53" t="s">
        <v>76</v>
      </c>
      <c r="C49" s="31">
        <v>11</v>
      </c>
      <c r="D49" s="32"/>
      <c r="E49" s="33">
        <v>11</v>
      </c>
      <c r="F49" s="34">
        <v>11</v>
      </c>
      <c r="G49" s="35"/>
      <c r="H49" s="35"/>
      <c r="I49" s="35"/>
      <c r="J49" s="35"/>
      <c r="K49" s="35">
        <v>1</v>
      </c>
      <c r="L49" s="38">
        <v>1</v>
      </c>
      <c r="M49" s="35">
        <v>4</v>
      </c>
      <c r="N49" s="35">
        <v>2</v>
      </c>
      <c r="O49" s="35"/>
      <c r="P49" s="35"/>
      <c r="Q49" s="35"/>
      <c r="R49" s="35"/>
      <c r="S49" s="35">
        <v>1</v>
      </c>
      <c r="T49" s="35"/>
      <c r="U49" s="35"/>
      <c r="V49" s="35">
        <v>1</v>
      </c>
      <c r="W49" s="35"/>
      <c r="X49" s="38">
        <v>8</v>
      </c>
      <c r="Y49" s="35"/>
      <c r="Z49" s="35"/>
      <c r="AA49" s="38">
        <v>9</v>
      </c>
      <c r="AB49" s="35"/>
      <c r="AC49" s="35"/>
      <c r="AD49" s="35"/>
      <c r="AE49" s="35">
        <v>4</v>
      </c>
      <c r="AF49" s="35"/>
      <c r="AG49" s="38">
        <v>4</v>
      </c>
      <c r="AH49" s="35">
        <v>11</v>
      </c>
      <c r="AI49" s="35">
        <v>2</v>
      </c>
      <c r="AJ49" s="39">
        <v>13</v>
      </c>
    </row>
    <row r="50" spans="1:36" x14ac:dyDescent="0.3">
      <c r="A50" s="29" t="s">
        <v>67</v>
      </c>
      <c r="B50" s="53" t="s">
        <v>77</v>
      </c>
      <c r="C50" s="31">
        <v>41</v>
      </c>
      <c r="D50" s="32"/>
      <c r="E50" s="33">
        <v>41</v>
      </c>
      <c r="F50" s="34">
        <v>41</v>
      </c>
      <c r="G50" s="35"/>
      <c r="H50" s="35">
        <v>15</v>
      </c>
      <c r="I50" s="35"/>
      <c r="J50" s="35"/>
      <c r="K50" s="35">
        <v>1</v>
      </c>
      <c r="L50" s="38">
        <v>16</v>
      </c>
      <c r="M50" s="35">
        <v>9</v>
      </c>
      <c r="N50" s="35">
        <v>8</v>
      </c>
      <c r="O50" s="35"/>
      <c r="P50" s="35"/>
      <c r="Q50" s="35"/>
      <c r="R50" s="35"/>
      <c r="S50" s="35">
        <v>3</v>
      </c>
      <c r="T50" s="35"/>
      <c r="U50" s="35"/>
      <c r="V50" s="35">
        <v>1</v>
      </c>
      <c r="W50" s="35"/>
      <c r="X50" s="38">
        <v>21</v>
      </c>
      <c r="Y50" s="35"/>
      <c r="Z50" s="35"/>
      <c r="AA50" s="38">
        <v>37</v>
      </c>
      <c r="AB50" s="35"/>
      <c r="AC50" s="35"/>
      <c r="AD50" s="35"/>
      <c r="AE50" s="35">
        <v>8</v>
      </c>
      <c r="AF50" s="35"/>
      <c r="AG50" s="38">
        <v>8</v>
      </c>
      <c r="AH50" s="35">
        <v>41</v>
      </c>
      <c r="AI50" s="35">
        <v>4</v>
      </c>
      <c r="AJ50" s="39">
        <v>45</v>
      </c>
    </row>
    <row r="51" spans="1:36" x14ac:dyDescent="0.3">
      <c r="A51" s="29" t="s">
        <v>67</v>
      </c>
      <c r="B51" s="53" t="s">
        <v>78</v>
      </c>
      <c r="C51" s="31">
        <v>30</v>
      </c>
      <c r="D51" s="32"/>
      <c r="E51" s="33">
        <v>30</v>
      </c>
      <c r="F51" s="34">
        <v>30</v>
      </c>
      <c r="G51" s="35"/>
      <c r="H51" s="35">
        <v>9</v>
      </c>
      <c r="I51" s="35"/>
      <c r="J51" s="35"/>
      <c r="K51" s="35">
        <v>1</v>
      </c>
      <c r="L51" s="38">
        <v>10</v>
      </c>
      <c r="M51" s="35">
        <v>7</v>
      </c>
      <c r="N51" s="35">
        <v>6</v>
      </c>
      <c r="O51" s="35"/>
      <c r="P51" s="35"/>
      <c r="Q51" s="35"/>
      <c r="R51" s="35"/>
      <c r="S51" s="35">
        <v>2</v>
      </c>
      <c r="T51" s="35"/>
      <c r="U51" s="35"/>
      <c r="V51" s="35">
        <v>1</v>
      </c>
      <c r="W51" s="35"/>
      <c r="X51" s="38">
        <v>16</v>
      </c>
      <c r="Y51" s="35"/>
      <c r="Z51" s="35"/>
      <c r="AA51" s="38">
        <v>26</v>
      </c>
      <c r="AB51" s="35"/>
      <c r="AC51" s="35"/>
      <c r="AD51" s="35"/>
      <c r="AE51" s="35">
        <v>7</v>
      </c>
      <c r="AF51" s="35"/>
      <c r="AG51" s="38">
        <v>7</v>
      </c>
      <c r="AH51" s="35">
        <v>30</v>
      </c>
      <c r="AI51" s="35">
        <v>3</v>
      </c>
      <c r="AJ51" s="39">
        <v>33</v>
      </c>
    </row>
    <row r="52" spans="1:36" x14ac:dyDescent="0.3">
      <c r="A52" s="29" t="s">
        <v>67</v>
      </c>
      <c r="B52" s="53" t="s">
        <v>79</v>
      </c>
      <c r="C52" s="31">
        <v>14</v>
      </c>
      <c r="D52" s="32"/>
      <c r="E52" s="33">
        <v>14</v>
      </c>
      <c r="F52" s="34">
        <v>14</v>
      </c>
      <c r="G52" s="35"/>
      <c r="H52" s="35"/>
      <c r="I52" s="35"/>
      <c r="J52" s="35"/>
      <c r="K52" s="35"/>
      <c r="L52" s="38">
        <v>0</v>
      </c>
      <c r="M52" s="35"/>
      <c r="N52" s="35"/>
      <c r="O52" s="35"/>
      <c r="P52" s="35"/>
      <c r="Q52" s="35"/>
      <c r="R52" s="35">
        <v>5</v>
      </c>
      <c r="S52" s="35">
        <v>1</v>
      </c>
      <c r="T52" s="35"/>
      <c r="U52" s="35"/>
      <c r="V52" s="35"/>
      <c r="W52" s="35"/>
      <c r="X52" s="38">
        <v>6</v>
      </c>
      <c r="Y52" s="35"/>
      <c r="Z52" s="35">
        <v>2</v>
      </c>
      <c r="AA52" s="38">
        <v>8</v>
      </c>
      <c r="AB52" s="35"/>
      <c r="AC52" s="35"/>
      <c r="AD52" s="35"/>
      <c r="AE52" s="35">
        <v>7</v>
      </c>
      <c r="AF52" s="35"/>
      <c r="AG52" s="38">
        <v>7</v>
      </c>
      <c r="AH52" s="35">
        <v>14</v>
      </c>
      <c r="AI52" s="35">
        <v>1</v>
      </c>
      <c r="AJ52" s="39">
        <v>15</v>
      </c>
    </row>
    <row r="53" spans="1:36" s="23" customFormat="1" ht="17.25" thickBot="1" x14ac:dyDescent="0.35">
      <c r="A53" s="314" t="s">
        <v>36</v>
      </c>
      <c r="B53" s="315"/>
      <c r="C53" s="19">
        <v>240</v>
      </c>
      <c r="D53" s="20">
        <v>0</v>
      </c>
      <c r="E53" s="21">
        <v>240</v>
      </c>
      <c r="F53" s="22">
        <v>240</v>
      </c>
      <c r="G53" s="20">
        <v>0</v>
      </c>
      <c r="H53" s="20">
        <v>57</v>
      </c>
      <c r="I53" s="20">
        <v>0</v>
      </c>
      <c r="J53" s="20">
        <v>0</v>
      </c>
      <c r="K53" s="20">
        <v>11</v>
      </c>
      <c r="L53" s="20">
        <v>68</v>
      </c>
      <c r="M53" s="20">
        <v>56</v>
      </c>
      <c r="N53" s="20">
        <v>43</v>
      </c>
      <c r="O53" s="20">
        <v>0</v>
      </c>
      <c r="P53" s="20">
        <v>0</v>
      </c>
      <c r="Q53" s="20">
        <v>0</v>
      </c>
      <c r="R53" s="20">
        <v>5</v>
      </c>
      <c r="S53" s="20">
        <v>17</v>
      </c>
      <c r="T53" s="20">
        <v>0</v>
      </c>
      <c r="U53" s="20">
        <v>0</v>
      </c>
      <c r="V53" s="20">
        <v>10</v>
      </c>
      <c r="W53" s="20">
        <v>0</v>
      </c>
      <c r="X53" s="20">
        <v>131</v>
      </c>
      <c r="Y53" s="20">
        <v>0</v>
      </c>
      <c r="Z53" s="20">
        <v>2</v>
      </c>
      <c r="AA53" s="20">
        <v>201</v>
      </c>
      <c r="AB53" s="20">
        <v>0</v>
      </c>
      <c r="AC53" s="20">
        <v>0</v>
      </c>
      <c r="AD53" s="20">
        <v>0</v>
      </c>
      <c r="AE53" s="20">
        <v>66</v>
      </c>
      <c r="AF53" s="20">
        <v>0</v>
      </c>
      <c r="AG53" s="20">
        <v>66</v>
      </c>
      <c r="AH53" s="20">
        <v>240</v>
      </c>
      <c r="AI53" s="20">
        <v>27</v>
      </c>
      <c r="AJ53" s="21">
        <v>267</v>
      </c>
    </row>
    <row r="54" spans="1:36" x14ac:dyDescent="0.3">
      <c r="A54" s="11" t="s">
        <v>80</v>
      </c>
      <c r="B54" s="12" t="s">
        <v>81</v>
      </c>
      <c r="C54" s="13">
        <v>23</v>
      </c>
      <c r="D54" s="14"/>
      <c r="E54" s="15">
        <v>23</v>
      </c>
      <c r="F54" s="16">
        <v>23</v>
      </c>
      <c r="G54" s="14">
        <v>7</v>
      </c>
      <c r="H54" s="14"/>
      <c r="I54" s="14"/>
      <c r="J54" s="14"/>
      <c r="K54" s="14">
        <v>1</v>
      </c>
      <c r="L54" s="17">
        <v>8</v>
      </c>
      <c r="M54" s="14">
        <v>6</v>
      </c>
      <c r="N54" s="14">
        <v>4</v>
      </c>
      <c r="O54" s="14"/>
      <c r="P54" s="14"/>
      <c r="Q54" s="14"/>
      <c r="R54" s="14"/>
      <c r="S54" s="14">
        <v>1</v>
      </c>
      <c r="T54" s="14"/>
      <c r="U54" s="14"/>
      <c r="V54" s="56" t="s">
        <v>39</v>
      </c>
      <c r="W54" s="14"/>
      <c r="X54" s="17">
        <v>11</v>
      </c>
      <c r="Y54" s="14"/>
      <c r="Z54" s="14"/>
      <c r="AA54" s="17">
        <v>19</v>
      </c>
      <c r="AB54" s="14">
        <v>5</v>
      </c>
      <c r="AC54" s="14"/>
      <c r="AD54" s="14"/>
      <c r="AE54" s="14"/>
      <c r="AF54" s="14"/>
      <c r="AG54" s="17">
        <v>5</v>
      </c>
      <c r="AH54" s="14">
        <v>23</v>
      </c>
      <c r="AI54" s="14">
        <v>1</v>
      </c>
      <c r="AJ54" s="18">
        <v>24</v>
      </c>
    </row>
    <row r="55" spans="1:36" x14ac:dyDescent="0.3">
      <c r="A55" s="29" t="s">
        <v>80</v>
      </c>
      <c r="B55" s="53" t="s">
        <v>82</v>
      </c>
      <c r="C55" s="31">
        <v>27</v>
      </c>
      <c r="D55" s="32"/>
      <c r="E55" s="33">
        <v>27</v>
      </c>
      <c r="F55" s="34">
        <v>27</v>
      </c>
      <c r="G55" s="32">
        <v>6</v>
      </c>
      <c r="H55" s="32">
        <v>3</v>
      </c>
      <c r="I55" s="32"/>
      <c r="J55" s="32"/>
      <c r="K55" s="32">
        <v>1</v>
      </c>
      <c r="L55" s="36">
        <v>10</v>
      </c>
      <c r="M55" s="32">
        <v>6</v>
      </c>
      <c r="N55" s="32">
        <v>4</v>
      </c>
      <c r="O55" s="32"/>
      <c r="P55" s="32"/>
      <c r="Q55" s="32">
        <v>2</v>
      </c>
      <c r="R55" s="32"/>
      <c r="S55" s="32">
        <v>2</v>
      </c>
      <c r="T55" s="32"/>
      <c r="U55" s="32"/>
      <c r="V55" s="57" t="s">
        <v>39</v>
      </c>
      <c r="W55" s="32"/>
      <c r="X55" s="36">
        <v>14</v>
      </c>
      <c r="Y55" s="32"/>
      <c r="Z55" s="32"/>
      <c r="AA55" s="36">
        <v>24</v>
      </c>
      <c r="AB55" s="32">
        <v>5</v>
      </c>
      <c r="AC55" s="32"/>
      <c r="AD55" s="32"/>
      <c r="AE55" s="32"/>
      <c r="AF55" s="32"/>
      <c r="AG55" s="36">
        <v>5</v>
      </c>
      <c r="AH55" s="32">
        <v>27</v>
      </c>
      <c r="AI55" s="32">
        <v>2</v>
      </c>
      <c r="AJ55" s="54">
        <v>29</v>
      </c>
    </row>
    <row r="56" spans="1:36" x14ac:dyDescent="0.3">
      <c r="A56" s="29" t="s">
        <v>80</v>
      </c>
      <c r="B56" s="53" t="s">
        <v>83</v>
      </c>
      <c r="C56" s="31">
        <v>28</v>
      </c>
      <c r="D56" s="32"/>
      <c r="E56" s="33">
        <v>28</v>
      </c>
      <c r="F56" s="34">
        <v>28</v>
      </c>
      <c r="G56" s="32"/>
      <c r="H56" s="32"/>
      <c r="I56" s="32"/>
      <c r="J56" s="32"/>
      <c r="K56" s="32">
        <v>1</v>
      </c>
      <c r="L56" s="36">
        <v>1</v>
      </c>
      <c r="M56" s="32">
        <v>15</v>
      </c>
      <c r="N56" s="32">
        <v>6</v>
      </c>
      <c r="O56" s="32"/>
      <c r="P56" s="32"/>
      <c r="Q56" s="32"/>
      <c r="R56" s="32"/>
      <c r="S56" s="32">
        <v>1</v>
      </c>
      <c r="T56" s="32"/>
      <c r="U56" s="32"/>
      <c r="V56" s="57" t="s">
        <v>39</v>
      </c>
      <c r="W56" s="32"/>
      <c r="X56" s="36">
        <v>22</v>
      </c>
      <c r="Y56" s="32"/>
      <c r="Z56" s="32"/>
      <c r="AA56" s="36">
        <v>23</v>
      </c>
      <c r="AB56" s="32">
        <v>6</v>
      </c>
      <c r="AC56" s="32"/>
      <c r="AD56" s="32"/>
      <c r="AE56" s="32"/>
      <c r="AF56" s="32"/>
      <c r="AG56" s="36">
        <v>6</v>
      </c>
      <c r="AH56" s="32">
        <v>28</v>
      </c>
      <c r="AI56" s="32">
        <v>1</v>
      </c>
      <c r="AJ56" s="54">
        <v>29</v>
      </c>
    </row>
    <row r="57" spans="1:36" x14ac:dyDescent="0.3">
      <c r="A57" s="29" t="s">
        <v>80</v>
      </c>
      <c r="B57" s="53" t="s">
        <v>84</v>
      </c>
      <c r="C57" s="31">
        <v>26</v>
      </c>
      <c r="D57" s="32"/>
      <c r="E57" s="33">
        <v>26</v>
      </c>
      <c r="F57" s="34">
        <v>26</v>
      </c>
      <c r="G57" s="32">
        <v>6</v>
      </c>
      <c r="H57" s="32">
        <v>3</v>
      </c>
      <c r="I57" s="32"/>
      <c r="J57" s="32"/>
      <c r="K57" s="32">
        <v>1</v>
      </c>
      <c r="L57" s="36">
        <v>10</v>
      </c>
      <c r="M57" s="32">
        <v>6</v>
      </c>
      <c r="N57" s="32">
        <v>2</v>
      </c>
      <c r="O57" s="32"/>
      <c r="P57" s="32"/>
      <c r="Q57" s="32">
        <v>2</v>
      </c>
      <c r="R57" s="32"/>
      <c r="S57" s="32">
        <v>2</v>
      </c>
      <c r="T57" s="32"/>
      <c r="U57" s="32"/>
      <c r="V57" s="57" t="s">
        <v>39</v>
      </c>
      <c r="W57" s="32"/>
      <c r="X57" s="36">
        <v>12</v>
      </c>
      <c r="Y57" s="32"/>
      <c r="Z57" s="32"/>
      <c r="AA57" s="36">
        <v>22</v>
      </c>
      <c r="AB57" s="32">
        <v>6</v>
      </c>
      <c r="AC57" s="32"/>
      <c r="AD57" s="32"/>
      <c r="AE57" s="32"/>
      <c r="AF57" s="32"/>
      <c r="AG57" s="36">
        <v>6</v>
      </c>
      <c r="AH57" s="32">
        <v>26</v>
      </c>
      <c r="AI57" s="32">
        <v>2</v>
      </c>
      <c r="AJ57" s="54">
        <v>28</v>
      </c>
    </row>
    <row r="58" spans="1:36" x14ac:dyDescent="0.3">
      <c r="A58" s="29" t="s">
        <v>80</v>
      </c>
      <c r="B58" s="53" t="s">
        <v>85</v>
      </c>
      <c r="C58" s="31">
        <v>25</v>
      </c>
      <c r="D58" s="32"/>
      <c r="E58" s="33">
        <v>25</v>
      </c>
      <c r="F58" s="34">
        <v>25</v>
      </c>
      <c r="G58" s="32">
        <v>5</v>
      </c>
      <c r="H58" s="32">
        <v>3</v>
      </c>
      <c r="I58" s="32"/>
      <c r="J58" s="32"/>
      <c r="K58" s="32">
        <v>1</v>
      </c>
      <c r="L58" s="36">
        <v>9</v>
      </c>
      <c r="M58" s="32">
        <v>6</v>
      </c>
      <c r="N58" s="32">
        <v>4</v>
      </c>
      <c r="O58" s="32"/>
      <c r="P58" s="32"/>
      <c r="Q58" s="32"/>
      <c r="R58" s="32"/>
      <c r="S58" s="32">
        <v>1</v>
      </c>
      <c r="T58" s="32"/>
      <c r="U58" s="32"/>
      <c r="V58" s="57" t="s">
        <v>39</v>
      </c>
      <c r="W58" s="32"/>
      <c r="X58" s="36">
        <v>11</v>
      </c>
      <c r="Y58" s="32"/>
      <c r="Z58" s="32"/>
      <c r="AA58" s="36">
        <v>20</v>
      </c>
      <c r="AB58" s="32">
        <v>6</v>
      </c>
      <c r="AC58" s="32"/>
      <c r="AD58" s="32"/>
      <c r="AE58" s="32"/>
      <c r="AF58" s="32"/>
      <c r="AG58" s="36">
        <v>6</v>
      </c>
      <c r="AH58" s="32">
        <v>25</v>
      </c>
      <c r="AI58" s="32">
        <v>1</v>
      </c>
      <c r="AJ58" s="54">
        <v>26</v>
      </c>
    </row>
    <row r="59" spans="1:36" x14ac:dyDescent="0.3">
      <c r="A59" s="29" t="s">
        <v>80</v>
      </c>
      <c r="B59" s="53" t="s">
        <v>86</v>
      </c>
      <c r="C59" s="31">
        <v>69</v>
      </c>
      <c r="D59" s="32"/>
      <c r="E59" s="33">
        <v>69</v>
      </c>
      <c r="F59" s="34">
        <v>69</v>
      </c>
      <c r="G59" s="32">
        <v>12</v>
      </c>
      <c r="H59" s="32">
        <v>7</v>
      </c>
      <c r="I59" s="32"/>
      <c r="J59" s="32"/>
      <c r="K59" s="32">
        <v>2</v>
      </c>
      <c r="L59" s="36">
        <v>21</v>
      </c>
      <c r="M59" s="32">
        <v>14</v>
      </c>
      <c r="N59" s="32">
        <v>11</v>
      </c>
      <c r="O59" s="32"/>
      <c r="P59" s="32"/>
      <c r="Q59" s="32">
        <v>2</v>
      </c>
      <c r="R59" s="32"/>
      <c r="S59" s="32">
        <v>3</v>
      </c>
      <c r="T59" s="32"/>
      <c r="U59" s="32"/>
      <c r="V59" s="57" t="s">
        <v>39</v>
      </c>
      <c r="W59" s="32"/>
      <c r="X59" s="36">
        <v>30</v>
      </c>
      <c r="Y59" s="32"/>
      <c r="Z59" s="32"/>
      <c r="AA59" s="36">
        <v>51</v>
      </c>
      <c r="AB59" s="32">
        <v>21</v>
      </c>
      <c r="AC59" s="32"/>
      <c r="AD59" s="32"/>
      <c r="AE59" s="32"/>
      <c r="AF59" s="32"/>
      <c r="AG59" s="36">
        <v>21</v>
      </c>
      <c r="AH59" s="32">
        <v>69</v>
      </c>
      <c r="AI59" s="32">
        <v>3</v>
      </c>
      <c r="AJ59" s="54">
        <v>72</v>
      </c>
    </row>
    <row r="60" spans="1:36" s="23" customFormat="1" ht="17.25" thickBot="1" x14ac:dyDescent="0.35">
      <c r="A60" s="314" t="s">
        <v>36</v>
      </c>
      <c r="B60" s="315"/>
      <c r="C60" s="19">
        <v>198</v>
      </c>
      <c r="D60" s="20">
        <v>0</v>
      </c>
      <c r="E60" s="21">
        <v>198</v>
      </c>
      <c r="F60" s="22">
        <v>198</v>
      </c>
      <c r="G60" s="20">
        <v>36</v>
      </c>
      <c r="H60" s="20">
        <v>16</v>
      </c>
      <c r="I60" s="20">
        <v>0</v>
      </c>
      <c r="J60" s="20">
        <v>0</v>
      </c>
      <c r="K60" s="20">
        <v>7</v>
      </c>
      <c r="L60" s="20">
        <v>59</v>
      </c>
      <c r="M60" s="20">
        <v>53</v>
      </c>
      <c r="N60" s="20">
        <v>31</v>
      </c>
      <c r="O60" s="20">
        <v>0</v>
      </c>
      <c r="P60" s="20">
        <v>0</v>
      </c>
      <c r="Q60" s="20">
        <v>6</v>
      </c>
      <c r="R60" s="20">
        <v>0</v>
      </c>
      <c r="S60" s="20">
        <v>10</v>
      </c>
      <c r="T60" s="20">
        <v>0</v>
      </c>
      <c r="U60" s="20">
        <v>0</v>
      </c>
      <c r="V60" s="20">
        <v>0</v>
      </c>
      <c r="W60" s="20">
        <v>0</v>
      </c>
      <c r="X60" s="20">
        <v>100</v>
      </c>
      <c r="Y60" s="20">
        <v>0</v>
      </c>
      <c r="Z60" s="20">
        <v>0</v>
      </c>
      <c r="AA60" s="20">
        <v>159</v>
      </c>
      <c r="AB60" s="20">
        <v>49</v>
      </c>
      <c r="AC60" s="20">
        <v>0</v>
      </c>
      <c r="AD60" s="20">
        <v>0</v>
      </c>
      <c r="AE60" s="20">
        <v>0</v>
      </c>
      <c r="AF60" s="20">
        <v>0</v>
      </c>
      <c r="AG60" s="20">
        <v>49</v>
      </c>
      <c r="AH60" s="20">
        <v>198</v>
      </c>
      <c r="AI60" s="20">
        <v>10</v>
      </c>
      <c r="AJ60" s="21">
        <v>208</v>
      </c>
    </row>
    <row r="61" spans="1:36" x14ac:dyDescent="0.3">
      <c r="A61" s="11" t="s">
        <v>87</v>
      </c>
      <c r="B61" s="12" t="s">
        <v>88</v>
      </c>
      <c r="C61" s="13">
        <v>44</v>
      </c>
      <c r="D61" s="14"/>
      <c r="E61" s="15">
        <v>44</v>
      </c>
      <c r="F61" s="16">
        <v>44</v>
      </c>
      <c r="G61" s="25">
        <v>11</v>
      </c>
      <c r="H61" s="25">
        <v>5</v>
      </c>
      <c r="I61" s="25"/>
      <c r="J61" s="25"/>
      <c r="K61" s="25">
        <v>2</v>
      </c>
      <c r="L61" s="27">
        <v>18</v>
      </c>
      <c r="M61" s="25">
        <v>11</v>
      </c>
      <c r="N61" s="25">
        <v>8</v>
      </c>
      <c r="O61" s="25"/>
      <c r="P61" s="25"/>
      <c r="Q61" s="25">
        <v>2</v>
      </c>
      <c r="R61" s="25"/>
      <c r="S61" s="25">
        <v>3</v>
      </c>
      <c r="T61" s="25"/>
      <c r="U61" s="25">
        <v>2</v>
      </c>
      <c r="V61" s="26" t="s">
        <v>39</v>
      </c>
      <c r="W61" s="25"/>
      <c r="X61" s="27">
        <v>26</v>
      </c>
      <c r="Y61" s="25"/>
      <c r="Z61" s="25"/>
      <c r="AA61" s="27">
        <v>44</v>
      </c>
      <c r="AB61" s="25"/>
      <c r="AC61" s="25"/>
      <c r="AD61" s="25"/>
      <c r="AE61" s="25">
        <v>5</v>
      </c>
      <c r="AF61" s="25"/>
      <c r="AG61" s="27">
        <v>5</v>
      </c>
      <c r="AH61" s="25">
        <v>44</v>
      </c>
      <c r="AI61" s="25">
        <v>5</v>
      </c>
      <c r="AJ61" s="28">
        <v>49</v>
      </c>
    </row>
    <row r="62" spans="1:36" x14ac:dyDescent="0.3">
      <c r="A62" s="29" t="s">
        <v>87</v>
      </c>
      <c r="B62" s="53" t="s">
        <v>89</v>
      </c>
      <c r="C62" s="31">
        <v>96</v>
      </c>
      <c r="D62" s="32"/>
      <c r="E62" s="33">
        <v>96</v>
      </c>
      <c r="F62" s="34">
        <v>96</v>
      </c>
      <c r="G62" s="35">
        <v>18</v>
      </c>
      <c r="H62" s="35">
        <v>7</v>
      </c>
      <c r="I62" s="35"/>
      <c r="J62" s="35"/>
      <c r="K62" s="35">
        <v>2</v>
      </c>
      <c r="L62" s="38">
        <v>27</v>
      </c>
      <c r="M62" s="35">
        <v>26</v>
      </c>
      <c r="N62" s="35">
        <v>17</v>
      </c>
      <c r="O62" s="35"/>
      <c r="P62" s="35"/>
      <c r="Q62" s="35"/>
      <c r="R62" s="35"/>
      <c r="S62" s="35">
        <v>3</v>
      </c>
      <c r="T62" s="35"/>
      <c r="U62" s="35">
        <v>3</v>
      </c>
      <c r="V62" s="37" t="s">
        <v>39</v>
      </c>
      <c r="W62" s="35"/>
      <c r="X62" s="38">
        <v>49</v>
      </c>
      <c r="Y62" s="35"/>
      <c r="Z62" s="35"/>
      <c r="AA62" s="38">
        <v>76</v>
      </c>
      <c r="AB62" s="35"/>
      <c r="AC62" s="35"/>
      <c r="AD62" s="35"/>
      <c r="AE62" s="35">
        <v>26</v>
      </c>
      <c r="AF62" s="35"/>
      <c r="AG62" s="38">
        <v>26</v>
      </c>
      <c r="AH62" s="35">
        <v>96</v>
      </c>
      <c r="AI62" s="35">
        <v>6</v>
      </c>
      <c r="AJ62" s="39">
        <v>102</v>
      </c>
    </row>
    <row r="63" spans="1:36" x14ac:dyDescent="0.3">
      <c r="A63" s="29" t="s">
        <v>87</v>
      </c>
      <c r="B63" s="53" t="s">
        <v>90</v>
      </c>
      <c r="C63" s="31">
        <v>25</v>
      </c>
      <c r="D63" s="32"/>
      <c r="E63" s="33">
        <v>25</v>
      </c>
      <c r="F63" s="34">
        <v>25</v>
      </c>
      <c r="G63" s="35">
        <v>4</v>
      </c>
      <c r="H63" s="35">
        <v>3</v>
      </c>
      <c r="I63" s="35"/>
      <c r="J63" s="35"/>
      <c r="K63" s="35">
        <v>1</v>
      </c>
      <c r="L63" s="38">
        <v>8</v>
      </c>
      <c r="M63" s="35">
        <v>7</v>
      </c>
      <c r="N63" s="35">
        <v>4</v>
      </c>
      <c r="O63" s="35"/>
      <c r="P63" s="35"/>
      <c r="Q63" s="35"/>
      <c r="R63" s="35"/>
      <c r="S63" s="35">
        <v>1</v>
      </c>
      <c r="T63" s="35"/>
      <c r="U63" s="35">
        <v>2</v>
      </c>
      <c r="V63" s="37" t="s">
        <v>39</v>
      </c>
      <c r="W63" s="35"/>
      <c r="X63" s="38">
        <v>14</v>
      </c>
      <c r="Y63" s="35"/>
      <c r="Z63" s="35"/>
      <c r="AA63" s="38">
        <v>22</v>
      </c>
      <c r="AB63" s="35"/>
      <c r="AC63" s="35"/>
      <c r="AD63" s="35"/>
      <c r="AE63" s="35">
        <v>6</v>
      </c>
      <c r="AF63" s="35"/>
      <c r="AG63" s="38">
        <v>6</v>
      </c>
      <c r="AH63" s="35">
        <v>25</v>
      </c>
      <c r="AI63" s="35">
        <v>3</v>
      </c>
      <c r="AJ63" s="39">
        <v>28</v>
      </c>
    </row>
    <row r="64" spans="1:36" s="23" customFormat="1" ht="17.25" thickBot="1" x14ac:dyDescent="0.35">
      <c r="A64" s="314" t="s">
        <v>36</v>
      </c>
      <c r="B64" s="315"/>
      <c r="C64" s="19">
        <v>165</v>
      </c>
      <c r="D64" s="20">
        <v>0</v>
      </c>
      <c r="E64" s="21">
        <v>165</v>
      </c>
      <c r="F64" s="22">
        <v>165</v>
      </c>
      <c r="G64" s="20">
        <v>33</v>
      </c>
      <c r="H64" s="20">
        <v>15</v>
      </c>
      <c r="I64" s="20">
        <v>0</v>
      </c>
      <c r="J64" s="20">
        <v>0</v>
      </c>
      <c r="K64" s="20">
        <v>5</v>
      </c>
      <c r="L64" s="20">
        <v>53</v>
      </c>
      <c r="M64" s="20">
        <v>44</v>
      </c>
      <c r="N64" s="20">
        <v>29</v>
      </c>
      <c r="O64" s="20">
        <v>0</v>
      </c>
      <c r="P64" s="20">
        <v>0</v>
      </c>
      <c r="Q64" s="20">
        <v>2</v>
      </c>
      <c r="R64" s="20">
        <v>0</v>
      </c>
      <c r="S64" s="20">
        <v>7</v>
      </c>
      <c r="T64" s="20">
        <v>0</v>
      </c>
      <c r="U64" s="20">
        <v>7</v>
      </c>
      <c r="V64" s="20">
        <v>0</v>
      </c>
      <c r="W64" s="20">
        <v>0</v>
      </c>
      <c r="X64" s="20">
        <v>89</v>
      </c>
      <c r="Y64" s="20">
        <v>0</v>
      </c>
      <c r="Z64" s="20">
        <v>0</v>
      </c>
      <c r="AA64" s="20">
        <v>142</v>
      </c>
      <c r="AB64" s="20">
        <v>0</v>
      </c>
      <c r="AC64" s="20">
        <v>0</v>
      </c>
      <c r="AD64" s="20">
        <v>0</v>
      </c>
      <c r="AE64" s="20">
        <v>37</v>
      </c>
      <c r="AF64" s="20">
        <v>0</v>
      </c>
      <c r="AG64" s="20">
        <v>37</v>
      </c>
      <c r="AH64" s="20">
        <v>165</v>
      </c>
      <c r="AI64" s="20">
        <v>14</v>
      </c>
      <c r="AJ64" s="21">
        <v>179</v>
      </c>
    </row>
    <row r="65" spans="1:37" x14ac:dyDescent="0.3">
      <c r="A65" s="11" t="s">
        <v>91</v>
      </c>
      <c r="B65" s="12" t="s">
        <v>92</v>
      </c>
      <c r="C65" s="13">
        <v>40</v>
      </c>
      <c r="D65" s="14"/>
      <c r="E65" s="15">
        <v>40</v>
      </c>
      <c r="F65" s="16">
        <v>40</v>
      </c>
      <c r="G65" s="14">
        <v>4</v>
      </c>
      <c r="H65" s="14"/>
      <c r="I65" s="14"/>
      <c r="J65" s="14"/>
      <c r="K65" s="14"/>
      <c r="L65" s="17">
        <v>4</v>
      </c>
      <c r="M65" s="14">
        <v>15</v>
      </c>
      <c r="N65" s="14">
        <v>10</v>
      </c>
      <c r="O65" s="14"/>
      <c r="P65" s="14">
        <v>1</v>
      </c>
      <c r="Q65" s="14"/>
      <c r="R65" s="14"/>
      <c r="S65" s="14"/>
      <c r="T65" s="14"/>
      <c r="U65" s="14"/>
      <c r="V65" s="14"/>
      <c r="W65" s="14"/>
      <c r="X65" s="17">
        <v>26</v>
      </c>
      <c r="Y65" s="14"/>
      <c r="Z65" s="14"/>
      <c r="AA65" s="17">
        <v>30</v>
      </c>
      <c r="AB65" s="14">
        <v>10</v>
      </c>
      <c r="AC65" s="14"/>
      <c r="AD65" s="14"/>
      <c r="AE65" s="14"/>
      <c r="AF65" s="14"/>
      <c r="AG65" s="17">
        <v>10</v>
      </c>
      <c r="AH65" s="14">
        <v>40</v>
      </c>
      <c r="AI65" s="14">
        <v>0</v>
      </c>
      <c r="AJ65" s="18">
        <v>40</v>
      </c>
    </row>
    <row r="66" spans="1:37" s="23" customFormat="1" ht="17.25" thickBot="1" x14ac:dyDescent="0.35">
      <c r="A66" s="314" t="s">
        <v>36</v>
      </c>
      <c r="B66" s="315"/>
      <c r="C66" s="19">
        <v>40</v>
      </c>
      <c r="D66" s="20">
        <v>0</v>
      </c>
      <c r="E66" s="21">
        <v>40</v>
      </c>
      <c r="F66" s="22">
        <v>40</v>
      </c>
      <c r="G66" s="20">
        <v>4</v>
      </c>
      <c r="H66" s="20">
        <v>0</v>
      </c>
      <c r="I66" s="20">
        <v>0</v>
      </c>
      <c r="J66" s="20">
        <v>0</v>
      </c>
      <c r="K66" s="20">
        <v>0</v>
      </c>
      <c r="L66" s="20">
        <v>4</v>
      </c>
      <c r="M66" s="20">
        <v>15</v>
      </c>
      <c r="N66" s="20">
        <v>10</v>
      </c>
      <c r="O66" s="20">
        <v>0</v>
      </c>
      <c r="P66" s="20">
        <v>1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26</v>
      </c>
      <c r="Y66" s="20">
        <v>0</v>
      </c>
      <c r="Z66" s="20">
        <v>0</v>
      </c>
      <c r="AA66" s="20">
        <v>30</v>
      </c>
      <c r="AB66" s="20">
        <v>10</v>
      </c>
      <c r="AC66" s="20">
        <v>0</v>
      </c>
      <c r="AD66" s="20">
        <v>0</v>
      </c>
      <c r="AE66" s="20">
        <v>0</v>
      </c>
      <c r="AF66" s="20">
        <v>0</v>
      </c>
      <c r="AG66" s="20">
        <v>10</v>
      </c>
      <c r="AH66" s="20">
        <v>40</v>
      </c>
      <c r="AI66" s="20">
        <v>0</v>
      </c>
      <c r="AJ66" s="21">
        <v>40</v>
      </c>
    </row>
    <row r="67" spans="1:37" x14ac:dyDescent="0.3">
      <c r="A67" s="11" t="s">
        <v>95</v>
      </c>
      <c r="B67" s="12" t="s">
        <v>96</v>
      </c>
      <c r="C67" s="13">
        <v>50</v>
      </c>
      <c r="D67" s="14"/>
      <c r="E67" s="15">
        <v>50</v>
      </c>
      <c r="F67" s="16">
        <v>50</v>
      </c>
      <c r="G67" s="14"/>
      <c r="H67" s="14">
        <v>9</v>
      </c>
      <c r="I67" s="14"/>
      <c r="J67" s="14"/>
      <c r="K67" s="14"/>
      <c r="L67" s="17">
        <v>9</v>
      </c>
      <c r="M67" s="14">
        <v>13</v>
      </c>
      <c r="N67" s="14">
        <v>15</v>
      </c>
      <c r="O67" s="14"/>
      <c r="P67" s="14">
        <v>1</v>
      </c>
      <c r="Q67" s="14"/>
      <c r="R67" s="14"/>
      <c r="S67" s="14"/>
      <c r="T67" s="14">
        <v>4</v>
      </c>
      <c r="U67" s="14"/>
      <c r="V67" s="14"/>
      <c r="W67" s="14"/>
      <c r="X67" s="17">
        <v>33</v>
      </c>
      <c r="Y67" s="14"/>
      <c r="Z67" s="14"/>
      <c r="AA67" s="17">
        <v>42</v>
      </c>
      <c r="AB67" s="14">
        <v>12</v>
      </c>
      <c r="AC67" s="14"/>
      <c r="AD67" s="14"/>
      <c r="AE67" s="14"/>
      <c r="AF67" s="14"/>
      <c r="AG67" s="17">
        <v>12</v>
      </c>
      <c r="AH67" s="14">
        <v>50</v>
      </c>
      <c r="AI67" s="14">
        <v>4</v>
      </c>
      <c r="AJ67" s="18">
        <v>54</v>
      </c>
    </row>
    <row r="68" spans="1:37" s="23" customFormat="1" ht="17.25" thickBot="1" x14ac:dyDescent="0.35">
      <c r="A68" s="314" t="s">
        <v>36</v>
      </c>
      <c r="B68" s="315"/>
      <c r="C68" s="19">
        <v>50</v>
      </c>
      <c r="D68" s="20">
        <v>0</v>
      </c>
      <c r="E68" s="21">
        <v>50</v>
      </c>
      <c r="F68" s="22">
        <v>50</v>
      </c>
      <c r="G68" s="20">
        <v>0</v>
      </c>
      <c r="H68" s="20">
        <v>9</v>
      </c>
      <c r="I68" s="20">
        <v>0</v>
      </c>
      <c r="J68" s="20">
        <v>0</v>
      </c>
      <c r="K68" s="20">
        <v>0</v>
      </c>
      <c r="L68" s="20">
        <v>9</v>
      </c>
      <c r="M68" s="20">
        <v>13</v>
      </c>
      <c r="N68" s="20">
        <v>15</v>
      </c>
      <c r="O68" s="20">
        <v>0</v>
      </c>
      <c r="P68" s="20">
        <v>1</v>
      </c>
      <c r="Q68" s="20">
        <v>0</v>
      </c>
      <c r="R68" s="20">
        <v>0</v>
      </c>
      <c r="S68" s="20">
        <v>0</v>
      </c>
      <c r="T68" s="20">
        <v>4</v>
      </c>
      <c r="U68" s="20">
        <v>0</v>
      </c>
      <c r="V68" s="20">
        <v>0</v>
      </c>
      <c r="W68" s="20">
        <v>0</v>
      </c>
      <c r="X68" s="20">
        <v>33</v>
      </c>
      <c r="Y68" s="20">
        <v>0</v>
      </c>
      <c r="Z68" s="20">
        <v>0</v>
      </c>
      <c r="AA68" s="20">
        <v>42</v>
      </c>
      <c r="AB68" s="20">
        <v>12</v>
      </c>
      <c r="AC68" s="20">
        <v>0</v>
      </c>
      <c r="AD68" s="20">
        <v>0</v>
      </c>
      <c r="AE68" s="20">
        <v>0</v>
      </c>
      <c r="AF68" s="20">
        <v>0</v>
      </c>
      <c r="AG68" s="20">
        <v>12</v>
      </c>
      <c r="AH68" s="20">
        <v>50</v>
      </c>
      <c r="AI68" s="20">
        <v>4</v>
      </c>
      <c r="AJ68" s="21">
        <v>54</v>
      </c>
    </row>
    <row r="69" spans="1:37" x14ac:dyDescent="0.3">
      <c r="A69" s="11" t="s">
        <v>93</v>
      </c>
      <c r="B69" s="12" t="s">
        <v>94</v>
      </c>
      <c r="C69" s="13">
        <v>132</v>
      </c>
      <c r="D69" s="14"/>
      <c r="E69" s="15">
        <v>132</v>
      </c>
      <c r="F69" s="16">
        <v>91</v>
      </c>
      <c r="G69" s="25"/>
      <c r="H69" s="25">
        <v>10</v>
      </c>
      <c r="I69" s="25"/>
      <c r="J69" s="25">
        <v>20</v>
      </c>
      <c r="K69" s="25"/>
      <c r="L69" s="27">
        <v>30</v>
      </c>
      <c r="M69" s="25">
        <v>11</v>
      </c>
      <c r="N69" s="25">
        <v>23</v>
      </c>
      <c r="O69" s="25"/>
      <c r="P69" s="25">
        <v>2</v>
      </c>
      <c r="Q69" s="25"/>
      <c r="R69" s="25"/>
      <c r="S69" s="25"/>
      <c r="T69" s="25"/>
      <c r="U69" s="25"/>
      <c r="V69" s="25"/>
      <c r="W69" s="25"/>
      <c r="X69" s="27">
        <v>36</v>
      </c>
      <c r="Y69" s="25"/>
      <c r="Z69" s="25"/>
      <c r="AA69" s="27">
        <v>66</v>
      </c>
      <c r="AB69" s="25">
        <v>15</v>
      </c>
      <c r="AC69" s="25">
        <v>10</v>
      </c>
      <c r="AD69" s="25"/>
      <c r="AE69" s="25"/>
      <c r="AF69" s="25"/>
      <c r="AG69" s="27">
        <v>25</v>
      </c>
      <c r="AH69" s="25">
        <v>91</v>
      </c>
      <c r="AI69" s="25">
        <v>0</v>
      </c>
      <c r="AJ69" s="28">
        <v>91</v>
      </c>
    </row>
    <row r="70" spans="1:37" s="23" customFormat="1" ht="17.25" thickBot="1" x14ac:dyDescent="0.35">
      <c r="A70" s="314" t="s">
        <v>36</v>
      </c>
      <c r="B70" s="315"/>
      <c r="C70" s="19">
        <v>132</v>
      </c>
      <c r="D70" s="20">
        <v>0</v>
      </c>
      <c r="E70" s="21">
        <v>132</v>
      </c>
      <c r="F70" s="22">
        <v>91</v>
      </c>
      <c r="G70" s="20">
        <v>0</v>
      </c>
      <c r="H70" s="20">
        <v>10</v>
      </c>
      <c r="I70" s="20">
        <v>0</v>
      </c>
      <c r="J70" s="20">
        <v>20</v>
      </c>
      <c r="K70" s="20">
        <v>0</v>
      </c>
      <c r="L70" s="20">
        <v>30</v>
      </c>
      <c r="M70" s="20">
        <v>11</v>
      </c>
      <c r="N70" s="20">
        <v>23</v>
      </c>
      <c r="O70" s="20">
        <v>0</v>
      </c>
      <c r="P70" s="20">
        <v>2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36</v>
      </c>
      <c r="Y70" s="20">
        <v>0</v>
      </c>
      <c r="Z70" s="20">
        <v>0</v>
      </c>
      <c r="AA70" s="20">
        <v>66</v>
      </c>
      <c r="AB70" s="20">
        <v>15</v>
      </c>
      <c r="AC70" s="20">
        <v>10</v>
      </c>
      <c r="AD70" s="20">
        <v>0</v>
      </c>
      <c r="AE70" s="20">
        <v>0</v>
      </c>
      <c r="AF70" s="20">
        <v>0</v>
      </c>
      <c r="AG70" s="20">
        <v>25</v>
      </c>
      <c r="AH70" s="20">
        <v>91</v>
      </c>
      <c r="AI70" s="20">
        <v>0</v>
      </c>
      <c r="AJ70" s="21">
        <v>91</v>
      </c>
    </row>
    <row r="71" spans="1:37" x14ac:dyDescent="0.3">
      <c r="A71" s="58" t="s">
        <v>97</v>
      </c>
      <c r="B71" s="59" t="s">
        <v>98</v>
      </c>
      <c r="C71" s="13">
        <v>25</v>
      </c>
      <c r="D71" s="14"/>
      <c r="E71" s="15">
        <v>25</v>
      </c>
      <c r="F71" s="16">
        <v>25</v>
      </c>
      <c r="G71" s="25">
        <v>5</v>
      </c>
      <c r="H71" s="25">
        <v>3</v>
      </c>
      <c r="I71" s="25"/>
      <c r="J71" s="25"/>
      <c r="K71" s="25">
        <v>1</v>
      </c>
      <c r="L71" s="27">
        <v>9</v>
      </c>
      <c r="M71" s="25">
        <v>7</v>
      </c>
      <c r="N71" s="25">
        <v>4</v>
      </c>
      <c r="O71" s="25"/>
      <c r="P71" s="25"/>
      <c r="Q71" s="25"/>
      <c r="R71" s="25"/>
      <c r="S71" s="25">
        <v>2</v>
      </c>
      <c r="T71" s="25"/>
      <c r="U71" s="25"/>
      <c r="V71" s="26" t="s">
        <v>39</v>
      </c>
      <c r="W71" s="25"/>
      <c r="X71" s="27">
        <v>13</v>
      </c>
      <c r="Y71" s="25"/>
      <c r="Z71" s="25"/>
      <c r="AA71" s="27">
        <v>22</v>
      </c>
      <c r="AB71" s="25">
        <v>5</v>
      </c>
      <c r="AC71" s="25"/>
      <c r="AD71" s="25"/>
      <c r="AE71" s="25"/>
      <c r="AF71" s="25"/>
      <c r="AG71" s="27">
        <v>5</v>
      </c>
      <c r="AH71" s="25">
        <v>25</v>
      </c>
      <c r="AI71" s="25">
        <v>2</v>
      </c>
      <c r="AJ71" s="28">
        <v>27</v>
      </c>
    </row>
    <row r="72" spans="1:37" x14ac:dyDescent="0.3">
      <c r="A72" s="40" t="s">
        <v>97</v>
      </c>
      <c r="B72" s="55" t="s">
        <v>99</v>
      </c>
      <c r="C72" s="31">
        <v>26</v>
      </c>
      <c r="D72" s="32"/>
      <c r="E72" s="33">
        <v>26</v>
      </c>
      <c r="F72" s="34">
        <v>26</v>
      </c>
      <c r="G72" s="35">
        <v>6</v>
      </c>
      <c r="H72" s="35">
        <v>3</v>
      </c>
      <c r="I72" s="35"/>
      <c r="J72" s="35"/>
      <c r="K72" s="35">
        <v>1</v>
      </c>
      <c r="L72" s="38">
        <v>10</v>
      </c>
      <c r="M72" s="35">
        <v>7</v>
      </c>
      <c r="N72" s="35">
        <v>4</v>
      </c>
      <c r="O72" s="35"/>
      <c r="P72" s="35"/>
      <c r="Q72" s="35"/>
      <c r="R72" s="35"/>
      <c r="S72" s="35">
        <v>2</v>
      </c>
      <c r="T72" s="35"/>
      <c r="U72" s="35"/>
      <c r="V72" s="37" t="s">
        <v>39</v>
      </c>
      <c r="W72" s="35"/>
      <c r="X72" s="38">
        <v>13</v>
      </c>
      <c r="Y72" s="35"/>
      <c r="Z72" s="35"/>
      <c r="AA72" s="38">
        <v>23</v>
      </c>
      <c r="AB72" s="35">
        <v>5</v>
      </c>
      <c r="AC72" s="35"/>
      <c r="AD72" s="35"/>
      <c r="AE72" s="35"/>
      <c r="AF72" s="35"/>
      <c r="AG72" s="38">
        <v>5</v>
      </c>
      <c r="AH72" s="35">
        <v>26</v>
      </c>
      <c r="AI72" s="35">
        <v>2</v>
      </c>
      <c r="AJ72" s="39">
        <v>28</v>
      </c>
    </row>
    <row r="73" spans="1:37" x14ac:dyDescent="0.3">
      <c r="A73" s="40" t="s">
        <v>97</v>
      </c>
      <c r="B73" s="55" t="s">
        <v>100</v>
      </c>
      <c r="C73" s="31">
        <v>23</v>
      </c>
      <c r="D73" s="32"/>
      <c r="E73" s="33">
        <v>23</v>
      </c>
      <c r="F73" s="34">
        <v>23</v>
      </c>
      <c r="G73" s="35">
        <v>5</v>
      </c>
      <c r="H73" s="35">
        <v>3</v>
      </c>
      <c r="I73" s="35"/>
      <c r="J73" s="35"/>
      <c r="K73" s="35">
        <v>1</v>
      </c>
      <c r="L73" s="38">
        <v>9</v>
      </c>
      <c r="M73" s="35">
        <v>6</v>
      </c>
      <c r="N73" s="35">
        <v>4</v>
      </c>
      <c r="O73" s="35"/>
      <c r="P73" s="35"/>
      <c r="Q73" s="35"/>
      <c r="R73" s="35"/>
      <c r="S73" s="35">
        <v>2</v>
      </c>
      <c r="T73" s="35"/>
      <c r="U73" s="35"/>
      <c r="V73" s="37" t="s">
        <v>39</v>
      </c>
      <c r="W73" s="35"/>
      <c r="X73" s="38">
        <v>12</v>
      </c>
      <c r="Y73" s="35"/>
      <c r="Z73" s="35"/>
      <c r="AA73" s="38">
        <v>21</v>
      </c>
      <c r="AB73" s="35">
        <v>4</v>
      </c>
      <c r="AC73" s="35"/>
      <c r="AD73" s="35"/>
      <c r="AE73" s="35"/>
      <c r="AF73" s="35"/>
      <c r="AG73" s="38">
        <v>4</v>
      </c>
      <c r="AH73" s="35">
        <v>23</v>
      </c>
      <c r="AI73" s="35">
        <v>2</v>
      </c>
      <c r="AJ73" s="39">
        <v>25</v>
      </c>
    </row>
    <row r="74" spans="1:37" x14ac:dyDescent="0.3">
      <c r="A74" s="40" t="s">
        <v>97</v>
      </c>
      <c r="B74" s="55" t="s">
        <v>101</v>
      </c>
      <c r="C74" s="31">
        <v>59</v>
      </c>
      <c r="D74" s="32"/>
      <c r="E74" s="33">
        <v>59</v>
      </c>
      <c r="F74" s="34">
        <v>59</v>
      </c>
      <c r="G74" s="35">
        <v>12</v>
      </c>
      <c r="H74" s="35">
        <v>5</v>
      </c>
      <c r="I74" s="35"/>
      <c r="J74" s="35"/>
      <c r="K74" s="35">
        <v>1</v>
      </c>
      <c r="L74" s="38">
        <v>18</v>
      </c>
      <c r="M74" s="35">
        <v>14</v>
      </c>
      <c r="N74" s="35">
        <v>10</v>
      </c>
      <c r="O74" s="35"/>
      <c r="P74" s="35"/>
      <c r="Q74" s="35">
        <v>2</v>
      </c>
      <c r="R74" s="35"/>
      <c r="S74" s="35">
        <v>2</v>
      </c>
      <c r="T74" s="35"/>
      <c r="U74" s="35"/>
      <c r="V74" s="37" t="s">
        <v>39</v>
      </c>
      <c r="W74" s="35"/>
      <c r="X74" s="38">
        <v>28</v>
      </c>
      <c r="Y74" s="35"/>
      <c r="Z74" s="35"/>
      <c r="AA74" s="38">
        <v>46</v>
      </c>
      <c r="AB74" s="35">
        <v>15</v>
      </c>
      <c r="AC74" s="35"/>
      <c r="AD74" s="35"/>
      <c r="AE74" s="35"/>
      <c r="AF74" s="35"/>
      <c r="AG74" s="38">
        <v>15</v>
      </c>
      <c r="AH74" s="35">
        <v>59</v>
      </c>
      <c r="AI74" s="35">
        <v>2</v>
      </c>
      <c r="AJ74" s="39">
        <v>61</v>
      </c>
    </row>
    <row r="75" spans="1:37" s="23" customFormat="1" ht="17.25" thickBot="1" x14ac:dyDescent="0.35">
      <c r="A75" s="314" t="s">
        <v>36</v>
      </c>
      <c r="B75" s="315"/>
      <c r="C75" s="19">
        <v>133</v>
      </c>
      <c r="D75" s="20">
        <v>0</v>
      </c>
      <c r="E75" s="21">
        <v>133</v>
      </c>
      <c r="F75" s="22">
        <v>133</v>
      </c>
      <c r="G75" s="20">
        <v>28</v>
      </c>
      <c r="H75" s="20">
        <v>14</v>
      </c>
      <c r="I75" s="20">
        <v>0</v>
      </c>
      <c r="J75" s="20">
        <v>0</v>
      </c>
      <c r="K75" s="20">
        <v>4</v>
      </c>
      <c r="L75" s="20">
        <v>46</v>
      </c>
      <c r="M75" s="20">
        <v>34</v>
      </c>
      <c r="N75" s="20">
        <v>22</v>
      </c>
      <c r="O75" s="20">
        <v>0</v>
      </c>
      <c r="P75" s="20">
        <v>0</v>
      </c>
      <c r="Q75" s="20">
        <v>2</v>
      </c>
      <c r="R75" s="20">
        <v>0</v>
      </c>
      <c r="S75" s="20">
        <v>8</v>
      </c>
      <c r="T75" s="20">
        <v>0</v>
      </c>
      <c r="U75" s="20">
        <v>0</v>
      </c>
      <c r="V75" s="20">
        <v>0</v>
      </c>
      <c r="W75" s="20">
        <v>0</v>
      </c>
      <c r="X75" s="20">
        <v>66</v>
      </c>
      <c r="Y75" s="20">
        <v>0</v>
      </c>
      <c r="Z75" s="20">
        <v>0</v>
      </c>
      <c r="AA75" s="20">
        <v>112</v>
      </c>
      <c r="AB75" s="20">
        <v>29</v>
      </c>
      <c r="AC75" s="20">
        <v>0</v>
      </c>
      <c r="AD75" s="20">
        <v>0</v>
      </c>
      <c r="AE75" s="20">
        <v>0</v>
      </c>
      <c r="AF75" s="20">
        <v>0</v>
      </c>
      <c r="AG75" s="20">
        <v>29</v>
      </c>
      <c r="AH75" s="20">
        <v>133</v>
      </c>
      <c r="AI75" s="20">
        <v>8</v>
      </c>
      <c r="AJ75" s="21">
        <v>141</v>
      </c>
    </row>
    <row r="76" spans="1:37" x14ac:dyDescent="0.3">
      <c r="A76" s="11" t="s">
        <v>102</v>
      </c>
      <c r="B76" s="12" t="s">
        <v>103</v>
      </c>
      <c r="C76" s="13">
        <v>240</v>
      </c>
      <c r="D76" s="14"/>
      <c r="E76" s="15">
        <v>240</v>
      </c>
      <c r="F76" s="16">
        <v>240</v>
      </c>
      <c r="G76" s="25">
        <v>51</v>
      </c>
      <c r="H76" s="25">
        <v>25</v>
      </c>
      <c r="I76" s="25"/>
      <c r="J76" s="25"/>
      <c r="K76" s="25">
        <v>10</v>
      </c>
      <c r="L76" s="27">
        <v>86</v>
      </c>
      <c r="M76" s="25">
        <v>55</v>
      </c>
      <c r="N76" s="25">
        <v>35</v>
      </c>
      <c r="O76" s="25"/>
      <c r="P76" s="25"/>
      <c r="Q76" s="25">
        <v>10</v>
      </c>
      <c r="R76" s="25"/>
      <c r="S76" s="25">
        <v>13</v>
      </c>
      <c r="T76" s="25"/>
      <c r="U76" s="25"/>
      <c r="V76" s="26" t="s">
        <v>39</v>
      </c>
      <c r="W76" s="25"/>
      <c r="X76" s="27">
        <v>113</v>
      </c>
      <c r="Y76" s="25"/>
      <c r="Z76" s="25"/>
      <c r="AA76" s="27">
        <v>199</v>
      </c>
      <c r="AB76" s="25"/>
      <c r="AC76" s="25"/>
      <c r="AD76" s="25"/>
      <c r="AE76" s="25">
        <v>54</v>
      </c>
      <c r="AF76" s="25"/>
      <c r="AG76" s="27">
        <v>54</v>
      </c>
      <c r="AH76" s="25">
        <v>240</v>
      </c>
      <c r="AI76" s="25">
        <v>13</v>
      </c>
      <c r="AJ76" s="28">
        <v>253</v>
      </c>
    </row>
    <row r="77" spans="1:37" s="23" customFormat="1" ht="17.25" thickBot="1" x14ac:dyDescent="0.35">
      <c r="A77" s="314" t="s">
        <v>36</v>
      </c>
      <c r="B77" s="315"/>
      <c r="C77" s="19">
        <v>240</v>
      </c>
      <c r="D77" s="20">
        <v>0</v>
      </c>
      <c r="E77" s="21">
        <v>240</v>
      </c>
      <c r="F77" s="22">
        <v>240</v>
      </c>
      <c r="G77" s="20">
        <v>51</v>
      </c>
      <c r="H77" s="20">
        <v>25</v>
      </c>
      <c r="I77" s="20">
        <v>0</v>
      </c>
      <c r="J77" s="20">
        <v>0</v>
      </c>
      <c r="K77" s="20">
        <v>10</v>
      </c>
      <c r="L77" s="20">
        <v>86</v>
      </c>
      <c r="M77" s="20">
        <v>55</v>
      </c>
      <c r="N77" s="20">
        <v>35</v>
      </c>
      <c r="O77" s="20">
        <v>0</v>
      </c>
      <c r="P77" s="20">
        <v>0</v>
      </c>
      <c r="Q77" s="20">
        <v>10</v>
      </c>
      <c r="R77" s="20">
        <v>0</v>
      </c>
      <c r="S77" s="20">
        <v>13</v>
      </c>
      <c r="T77" s="20">
        <v>0</v>
      </c>
      <c r="U77" s="20">
        <v>0</v>
      </c>
      <c r="V77" s="20">
        <v>0</v>
      </c>
      <c r="W77" s="20">
        <v>0</v>
      </c>
      <c r="X77" s="20">
        <v>113</v>
      </c>
      <c r="Y77" s="20">
        <v>0</v>
      </c>
      <c r="Z77" s="20">
        <v>0</v>
      </c>
      <c r="AA77" s="20">
        <v>199</v>
      </c>
      <c r="AB77" s="20">
        <v>0</v>
      </c>
      <c r="AC77" s="20">
        <v>0</v>
      </c>
      <c r="AD77" s="20">
        <v>0</v>
      </c>
      <c r="AE77" s="20">
        <v>54</v>
      </c>
      <c r="AF77" s="20">
        <v>0</v>
      </c>
      <c r="AG77" s="20">
        <v>54</v>
      </c>
      <c r="AH77" s="20">
        <v>240</v>
      </c>
      <c r="AI77" s="20">
        <v>13</v>
      </c>
      <c r="AJ77" s="21">
        <v>253</v>
      </c>
    </row>
    <row r="78" spans="1:37" x14ac:dyDescent="0.3">
      <c r="A78" s="58" t="s">
        <v>104</v>
      </c>
      <c r="B78" s="59" t="s">
        <v>142</v>
      </c>
      <c r="C78" s="13">
        <v>17</v>
      </c>
      <c r="D78" s="14"/>
      <c r="E78" s="15">
        <v>17</v>
      </c>
      <c r="F78" s="16">
        <v>17</v>
      </c>
      <c r="G78" s="25">
        <v>4</v>
      </c>
      <c r="H78" s="25">
        <v>2</v>
      </c>
      <c r="I78" s="25"/>
      <c r="J78" s="25"/>
      <c r="K78" s="25">
        <v>1</v>
      </c>
      <c r="L78" s="27">
        <v>7</v>
      </c>
      <c r="M78" s="25">
        <v>4</v>
      </c>
      <c r="N78" s="25">
        <v>3</v>
      </c>
      <c r="O78" s="25"/>
      <c r="P78" s="25"/>
      <c r="Q78" s="25"/>
      <c r="R78" s="25"/>
      <c r="S78" s="60">
        <v>1</v>
      </c>
      <c r="T78" s="25"/>
      <c r="U78" s="25"/>
      <c r="V78" s="26" t="s">
        <v>39</v>
      </c>
      <c r="W78" s="25"/>
      <c r="X78" s="27">
        <v>8</v>
      </c>
      <c r="Y78" s="25"/>
      <c r="Z78" s="25"/>
      <c r="AA78" s="27">
        <v>15</v>
      </c>
      <c r="AB78" s="25"/>
      <c r="AC78" s="25"/>
      <c r="AD78" s="25"/>
      <c r="AE78" s="25">
        <v>3</v>
      </c>
      <c r="AF78" s="25"/>
      <c r="AG78" s="27">
        <v>3</v>
      </c>
      <c r="AH78" s="25">
        <v>17</v>
      </c>
      <c r="AI78" s="25">
        <v>1</v>
      </c>
      <c r="AJ78" s="28">
        <v>18</v>
      </c>
      <c r="AK78" t="s">
        <v>173</v>
      </c>
    </row>
    <row r="79" spans="1:37" x14ac:dyDescent="0.3">
      <c r="A79" s="40" t="s">
        <v>104</v>
      </c>
      <c r="B79" s="55" t="s">
        <v>105</v>
      </c>
      <c r="C79" s="31">
        <v>24</v>
      </c>
      <c r="D79" s="32"/>
      <c r="E79" s="33">
        <v>24</v>
      </c>
      <c r="F79" s="34">
        <v>24</v>
      </c>
      <c r="G79" s="35">
        <v>4</v>
      </c>
      <c r="H79" s="35">
        <v>3</v>
      </c>
      <c r="I79" s="35"/>
      <c r="J79" s="35"/>
      <c r="K79" s="35">
        <v>1</v>
      </c>
      <c r="L79" s="38">
        <v>8</v>
      </c>
      <c r="M79" s="35">
        <v>6</v>
      </c>
      <c r="N79" s="35">
        <v>5</v>
      </c>
      <c r="O79" s="35"/>
      <c r="P79" s="35"/>
      <c r="Q79" s="35"/>
      <c r="R79" s="35"/>
      <c r="S79" s="35">
        <v>1</v>
      </c>
      <c r="T79" s="35"/>
      <c r="U79" s="35"/>
      <c r="V79" s="37" t="s">
        <v>39</v>
      </c>
      <c r="W79" s="35"/>
      <c r="X79" s="38">
        <v>12</v>
      </c>
      <c r="Y79" s="35"/>
      <c r="Z79" s="35"/>
      <c r="AA79" s="38">
        <v>20</v>
      </c>
      <c r="AB79" s="35"/>
      <c r="AC79" s="35"/>
      <c r="AD79" s="35"/>
      <c r="AE79" s="35">
        <v>5</v>
      </c>
      <c r="AF79" s="35"/>
      <c r="AG79" s="38">
        <v>5</v>
      </c>
      <c r="AH79" s="35">
        <v>24</v>
      </c>
      <c r="AI79" s="35">
        <v>1</v>
      </c>
      <c r="AJ79" s="39">
        <v>25</v>
      </c>
    </row>
    <row r="80" spans="1:37" x14ac:dyDescent="0.3">
      <c r="A80" s="40" t="s">
        <v>104</v>
      </c>
      <c r="B80" s="55" t="s">
        <v>106</v>
      </c>
      <c r="C80" s="31">
        <v>26</v>
      </c>
      <c r="D80" s="32"/>
      <c r="E80" s="33">
        <v>26</v>
      </c>
      <c r="F80" s="34">
        <v>26</v>
      </c>
      <c r="G80" s="35">
        <v>4</v>
      </c>
      <c r="H80" s="35">
        <v>3</v>
      </c>
      <c r="I80" s="35"/>
      <c r="J80" s="35"/>
      <c r="K80" s="35">
        <v>1</v>
      </c>
      <c r="L80" s="38">
        <v>8</v>
      </c>
      <c r="M80" s="35">
        <v>7</v>
      </c>
      <c r="N80" s="35">
        <v>4</v>
      </c>
      <c r="O80" s="35"/>
      <c r="P80" s="35"/>
      <c r="Q80" s="35"/>
      <c r="R80" s="35"/>
      <c r="S80" s="35">
        <v>2</v>
      </c>
      <c r="T80" s="35"/>
      <c r="U80" s="35"/>
      <c r="V80" s="37" t="s">
        <v>39</v>
      </c>
      <c r="W80" s="35"/>
      <c r="X80" s="38">
        <v>13</v>
      </c>
      <c r="Y80" s="35"/>
      <c r="Z80" s="35"/>
      <c r="AA80" s="38">
        <v>21</v>
      </c>
      <c r="AB80" s="35"/>
      <c r="AC80" s="35"/>
      <c r="AD80" s="35"/>
      <c r="AE80" s="35">
        <v>7</v>
      </c>
      <c r="AF80" s="35"/>
      <c r="AG80" s="38">
        <v>7</v>
      </c>
      <c r="AH80" s="35">
        <v>26</v>
      </c>
      <c r="AI80" s="35">
        <v>2</v>
      </c>
      <c r="AJ80" s="39">
        <v>28</v>
      </c>
    </row>
    <row r="81" spans="1:36" x14ac:dyDescent="0.3">
      <c r="A81" s="40" t="s">
        <v>104</v>
      </c>
      <c r="B81" s="55" t="s">
        <v>107</v>
      </c>
      <c r="C81" s="31">
        <v>42</v>
      </c>
      <c r="D81" s="32"/>
      <c r="E81" s="33">
        <v>42</v>
      </c>
      <c r="F81" s="34">
        <v>42</v>
      </c>
      <c r="G81" s="35">
        <v>7</v>
      </c>
      <c r="H81" s="35">
        <v>3</v>
      </c>
      <c r="I81" s="35"/>
      <c r="J81" s="35"/>
      <c r="K81" s="35">
        <v>2</v>
      </c>
      <c r="L81" s="38">
        <v>12</v>
      </c>
      <c r="M81" s="35">
        <v>12</v>
      </c>
      <c r="N81" s="35">
        <v>7</v>
      </c>
      <c r="O81" s="35"/>
      <c r="P81" s="35"/>
      <c r="Q81" s="35"/>
      <c r="R81" s="35"/>
      <c r="S81" s="35">
        <v>2</v>
      </c>
      <c r="T81" s="35"/>
      <c r="U81" s="35"/>
      <c r="V81" s="37" t="s">
        <v>39</v>
      </c>
      <c r="W81" s="35"/>
      <c r="X81" s="38">
        <v>21</v>
      </c>
      <c r="Y81" s="35"/>
      <c r="Z81" s="35"/>
      <c r="AA81" s="38">
        <v>33</v>
      </c>
      <c r="AB81" s="35"/>
      <c r="AC81" s="35"/>
      <c r="AD81" s="35"/>
      <c r="AE81" s="35">
        <v>11</v>
      </c>
      <c r="AF81" s="35"/>
      <c r="AG81" s="38">
        <v>11</v>
      </c>
      <c r="AH81" s="35">
        <v>42</v>
      </c>
      <c r="AI81" s="35">
        <v>2</v>
      </c>
      <c r="AJ81" s="39">
        <v>44</v>
      </c>
    </row>
    <row r="82" spans="1:36" x14ac:dyDescent="0.3">
      <c r="A82" s="40" t="s">
        <v>104</v>
      </c>
      <c r="B82" s="55" t="s">
        <v>108</v>
      </c>
      <c r="C82" s="31">
        <v>66</v>
      </c>
      <c r="D82" s="32"/>
      <c r="E82" s="33">
        <v>66</v>
      </c>
      <c r="F82" s="34">
        <v>66</v>
      </c>
      <c r="G82" s="35">
        <v>16</v>
      </c>
      <c r="H82" s="35">
        <v>7</v>
      </c>
      <c r="I82" s="35"/>
      <c r="J82" s="35"/>
      <c r="K82" s="35">
        <v>1</v>
      </c>
      <c r="L82" s="38">
        <v>24</v>
      </c>
      <c r="M82" s="35">
        <v>16</v>
      </c>
      <c r="N82" s="35">
        <v>12</v>
      </c>
      <c r="O82" s="35"/>
      <c r="P82" s="35"/>
      <c r="Q82" s="35"/>
      <c r="R82" s="35"/>
      <c r="S82" s="35">
        <v>3</v>
      </c>
      <c r="T82" s="35"/>
      <c r="U82" s="35"/>
      <c r="V82" s="37" t="s">
        <v>39</v>
      </c>
      <c r="W82" s="35"/>
      <c r="X82" s="38">
        <v>31</v>
      </c>
      <c r="Y82" s="35"/>
      <c r="Z82" s="35"/>
      <c r="AA82" s="38">
        <v>55</v>
      </c>
      <c r="AB82" s="35"/>
      <c r="AC82" s="35"/>
      <c r="AD82" s="35"/>
      <c r="AE82" s="35">
        <v>14</v>
      </c>
      <c r="AF82" s="35"/>
      <c r="AG82" s="38">
        <v>14</v>
      </c>
      <c r="AH82" s="35">
        <v>66</v>
      </c>
      <c r="AI82" s="35">
        <v>3</v>
      </c>
      <c r="AJ82" s="39">
        <v>69</v>
      </c>
    </row>
    <row r="83" spans="1:36" s="23" customFormat="1" ht="17.25" thickBot="1" x14ac:dyDescent="0.35">
      <c r="A83" s="314" t="s">
        <v>36</v>
      </c>
      <c r="B83" s="315"/>
      <c r="C83" s="19">
        <v>175</v>
      </c>
      <c r="D83" s="20">
        <v>0</v>
      </c>
      <c r="E83" s="21">
        <v>175</v>
      </c>
      <c r="F83" s="22">
        <v>175</v>
      </c>
      <c r="G83" s="20">
        <v>35</v>
      </c>
      <c r="H83" s="20">
        <v>18</v>
      </c>
      <c r="I83" s="20">
        <v>0</v>
      </c>
      <c r="J83" s="20">
        <v>0</v>
      </c>
      <c r="K83" s="20">
        <v>6</v>
      </c>
      <c r="L83" s="20">
        <v>59</v>
      </c>
      <c r="M83" s="20">
        <v>45</v>
      </c>
      <c r="N83" s="20">
        <v>31</v>
      </c>
      <c r="O83" s="20">
        <v>0</v>
      </c>
      <c r="P83" s="20">
        <v>0</v>
      </c>
      <c r="Q83" s="20">
        <v>0</v>
      </c>
      <c r="R83" s="20">
        <v>0</v>
      </c>
      <c r="S83" s="20">
        <v>9</v>
      </c>
      <c r="T83" s="20">
        <v>0</v>
      </c>
      <c r="U83" s="20">
        <v>0</v>
      </c>
      <c r="V83" s="20">
        <v>0</v>
      </c>
      <c r="W83" s="20">
        <v>0</v>
      </c>
      <c r="X83" s="20">
        <v>85</v>
      </c>
      <c r="Y83" s="20">
        <v>0</v>
      </c>
      <c r="Z83" s="20">
        <v>0</v>
      </c>
      <c r="AA83" s="20">
        <v>144</v>
      </c>
      <c r="AB83" s="20">
        <v>0</v>
      </c>
      <c r="AC83" s="20">
        <v>0</v>
      </c>
      <c r="AD83" s="20">
        <v>0</v>
      </c>
      <c r="AE83" s="20">
        <v>40</v>
      </c>
      <c r="AF83" s="20">
        <v>0</v>
      </c>
      <c r="AG83" s="20">
        <v>40</v>
      </c>
      <c r="AH83" s="20">
        <v>175</v>
      </c>
      <c r="AI83" s="20">
        <v>9</v>
      </c>
      <c r="AJ83" s="21">
        <v>184</v>
      </c>
    </row>
    <row r="84" spans="1:36" x14ac:dyDescent="0.3">
      <c r="A84" s="58" t="s">
        <v>109</v>
      </c>
      <c r="B84" s="59" t="s">
        <v>114</v>
      </c>
      <c r="C84" s="13">
        <v>20</v>
      </c>
      <c r="D84" s="14"/>
      <c r="E84" s="15">
        <v>20</v>
      </c>
      <c r="F84" s="16">
        <v>20</v>
      </c>
      <c r="G84" s="25">
        <v>4</v>
      </c>
      <c r="H84" s="25">
        <v>2</v>
      </c>
      <c r="I84" s="25"/>
      <c r="J84" s="25"/>
      <c r="K84" s="25"/>
      <c r="L84" s="27">
        <v>6</v>
      </c>
      <c r="M84" s="25">
        <v>6</v>
      </c>
      <c r="N84" s="25">
        <v>4</v>
      </c>
      <c r="O84" s="25"/>
      <c r="P84" s="25"/>
      <c r="Q84" s="25">
        <v>1</v>
      </c>
      <c r="R84" s="25"/>
      <c r="S84" s="25">
        <v>1</v>
      </c>
      <c r="T84" s="25"/>
      <c r="U84" s="25"/>
      <c r="V84" s="25"/>
      <c r="W84" s="25"/>
      <c r="X84" s="27">
        <v>12</v>
      </c>
      <c r="Y84" s="25"/>
      <c r="Z84" s="25"/>
      <c r="AA84" s="27">
        <v>18</v>
      </c>
      <c r="AB84" s="25"/>
      <c r="AC84" s="25"/>
      <c r="AD84" s="25"/>
      <c r="AE84" s="25">
        <v>3</v>
      </c>
      <c r="AF84" s="25"/>
      <c r="AG84" s="27">
        <v>3</v>
      </c>
      <c r="AH84" s="25">
        <v>20</v>
      </c>
      <c r="AI84" s="25">
        <v>1</v>
      </c>
      <c r="AJ84" s="28">
        <v>21</v>
      </c>
    </row>
    <row r="85" spans="1:36" x14ac:dyDescent="0.3">
      <c r="A85" s="61" t="s">
        <v>109</v>
      </c>
      <c r="B85" s="62" t="s">
        <v>110</v>
      </c>
      <c r="C85" s="63">
        <v>84</v>
      </c>
      <c r="D85" s="64"/>
      <c r="E85" s="65">
        <v>84</v>
      </c>
      <c r="F85" s="66">
        <v>84</v>
      </c>
      <c r="G85" s="67">
        <v>16</v>
      </c>
      <c r="H85" s="67">
        <v>10</v>
      </c>
      <c r="I85" s="67"/>
      <c r="J85" s="67"/>
      <c r="K85" s="67">
        <v>2</v>
      </c>
      <c r="L85" s="68">
        <v>28</v>
      </c>
      <c r="M85" s="67">
        <v>20</v>
      </c>
      <c r="N85" s="67">
        <v>11</v>
      </c>
      <c r="O85" s="67"/>
      <c r="P85" s="67"/>
      <c r="Q85" s="67">
        <v>4</v>
      </c>
      <c r="R85" s="67"/>
      <c r="S85" s="67">
        <v>4</v>
      </c>
      <c r="T85" s="67"/>
      <c r="U85" s="67"/>
      <c r="V85" s="69" t="s">
        <v>39</v>
      </c>
      <c r="W85" s="67"/>
      <c r="X85" s="68">
        <v>39</v>
      </c>
      <c r="Y85" s="67"/>
      <c r="Z85" s="67"/>
      <c r="AA85" s="68">
        <v>67</v>
      </c>
      <c r="AB85" s="67"/>
      <c r="AC85" s="67"/>
      <c r="AD85" s="67"/>
      <c r="AE85" s="67">
        <v>21</v>
      </c>
      <c r="AF85" s="67"/>
      <c r="AG85" s="68">
        <v>21</v>
      </c>
      <c r="AH85" s="67">
        <v>84</v>
      </c>
      <c r="AI85" s="67">
        <v>4</v>
      </c>
      <c r="AJ85" s="70">
        <v>88</v>
      </c>
    </row>
    <row r="86" spans="1:36" x14ac:dyDescent="0.3">
      <c r="A86" s="40" t="s">
        <v>109</v>
      </c>
      <c r="B86" s="55" t="s">
        <v>111</v>
      </c>
      <c r="C86" s="31">
        <v>36</v>
      </c>
      <c r="D86" s="32"/>
      <c r="E86" s="33">
        <v>36</v>
      </c>
      <c r="F86" s="34">
        <v>36</v>
      </c>
      <c r="G86" s="35">
        <v>7</v>
      </c>
      <c r="H86" s="35">
        <v>4</v>
      </c>
      <c r="I86" s="35"/>
      <c r="J86" s="35"/>
      <c r="K86" s="35">
        <v>1</v>
      </c>
      <c r="L86" s="38">
        <v>12</v>
      </c>
      <c r="M86" s="35">
        <v>10</v>
      </c>
      <c r="N86" s="35">
        <v>6</v>
      </c>
      <c r="O86" s="35"/>
      <c r="P86" s="35"/>
      <c r="Q86" s="35"/>
      <c r="R86" s="35"/>
      <c r="S86" s="35">
        <v>2</v>
      </c>
      <c r="T86" s="35"/>
      <c r="U86" s="35"/>
      <c r="V86" s="37" t="s">
        <v>39</v>
      </c>
      <c r="W86" s="35"/>
      <c r="X86" s="38">
        <v>18</v>
      </c>
      <c r="Y86" s="35"/>
      <c r="Z86" s="35"/>
      <c r="AA86" s="38">
        <v>30</v>
      </c>
      <c r="AB86" s="35"/>
      <c r="AC86" s="35"/>
      <c r="AD86" s="35"/>
      <c r="AE86" s="35">
        <v>8</v>
      </c>
      <c r="AF86" s="35"/>
      <c r="AG86" s="38">
        <v>8</v>
      </c>
      <c r="AH86" s="35">
        <v>36</v>
      </c>
      <c r="AI86" s="35">
        <v>2</v>
      </c>
      <c r="AJ86" s="39">
        <v>38</v>
      </c>
    </row>
    <row r="87" spans="1:36" x14ac:dyDescent="0.3">
      <c r="A87" s="40" t="s">
        <v>109</v>
      </c>
      <c r="B87" s="55" t="s">
        <v>112</v>
      </c>
      <c r="C87" s="31">
        <v>138</v>
      </c>
      <c r="D87" s="32"/>
      <c r="E87" s="33">
        <v>138</v>
      </c>
      <c r="F87" s="34">
        <v>138</v>
      </c>
      <c r="G87" s="35">
        <v>18</v>
      </c>
      <c r="H87" s="35">
        <v>17</v>
      </c>
      <c r="I87" s="35"/>
      <c r="J87" s="35"/>
      <c r="K87" s="35">
        <v>6</v>
      </c>
      <c r="L87" s="38">
        <v>41</v>
      </c>
      <c r="M87" s="35">
        <v>40</v>
      </c>
      <c r="N87" s="35">
        <v>18</v>
      </c>
      <c r="O87" s="35"/>
      <c r="P87" s="35"/>
      <c r="Q87" s="35">
        <v>5</v>
      </c>
      <c r="R87" s="35"/>
      <c r="S87" s="35">
        <v>4</v>
      </c>
      <c r="T87" s="35"/>
      <c r="U87" s="35"/>
      <c r="V87" s="37" t="s">
        <v>39</v>
      </c>
      <c r="W87" s="35"/>
      <c r="X87" s="38">
        <v>67</v>
      </c>
      <c r="Y87" s="35"/>
      <c r="Z87" s="35"/>
      <c r="AA87" s="38">
        <v>108</v>
      </c>
      <c r="AB87" s="35"/>
      <c r="AC87" s="35"/>
      <c r="AD87" s="35"/>
      <c r="AE87" s="35">
        <v>34</v>
      </c>
      <c r="AF87" s="35"/>
      <c r="AG87" s="38">
        <v>34</v>
      </c>
      <c r="AH87" s="35">
        <v>138</v>
      </c>
      <c r="AI87" s="35">
        <v>4</v>
      </c>
      <c r="AJ87" s="39">
        <v>142</v>
      </c>
    </row>
    <row r="88" spans="1:36" x14ac:dyDescent="0.3">
      <c r="A88" s="40" t="s">
        <v>109</v>
      </c>
      <c r="B88" s="55" t="s">
        <v>113</v>
      </c>
      <c r="C88" s="31">
        <v>36</v>
      </c>
      <c r="D88" s="32"/>
      <c r="E88" s="33">
        <v>36</v>
      </c>
      <c r="F88" s="34">
        <v>36</v>
      </c>
      <c r="G88" s="35">
        <v>5</v>
      </c>
      <c r="H88" s="35">
        <v>3</v>
      </c>
      <c r="I88" s="35"/>
      <c r="J88" s="35"/>
      <c r="K88" s="35">
        <v>2</v>
      </c>
      <c r="L88" s="38">
        <v>10</v>
      </c>
      <c r="M88" s="35">
        <v>10</v>
      </c>
      <c r="N88" s="35">
        <v>7</v>
      </c>
      <c r="O88" s="35"/>
      <c r="P88" s="35"/>
      <c r="Q88" s="35"/>
      <c r="R88" s="35"/>
      <c r="S88" s="35">
        <v>2</v>
      </c>
      <c r="T88" s="35"/>
      <c r="U88" s="35"/>
      <c r="V88" s="37" t="s">
        <v>39</v>
      </c>
      <c r="W88" s="35"/>
      <c r="X88" s="38">
        <v>19</v>
      </c>
      <c r="Y88" s="35"/>
      <c r="Z88" s="35"/>
      <c r="AA88" s="38">
        <v>29</v>
      </c>
      <c r="AB88" s="35"/>
      <c r="AC88" s="35"/>
      <c r="AD88" s="35"/>
      <c r="AE88" s="35">
        <v>9</v>
      </c>
      <c r="AF88" s="35"/>
      <c r="AG88" s="38">
        <v>9</v>
      </c>
      <c r="AH88" s="35">
        <v>36</v>
      </c>
      <c r="AI88" s="35">
        <v>2</v>
      </c>
      <c r="AJ88" s="39">
        <v>38</v>
      </c>
    </row>
    <row r="89" spans="1:36" s="23" customFormat="1" ht="17.25" thickBot="1" x14ac:dyDescent="0.35">
      <c r="A89" s="314" t="s">
        <v>115</v>
      </c>
      <c r="B89" s="315"/>
      <c r="C89" s="19">
        <v>314</v>
      </c>
      <c r="D89" s="20">
        <v>0</v>
      </c>
      <c r="E89" s="21">
        <v>314</v>
      </c>
      <c r="F89" s="22">
        <v>314</v>
      </c>
      <c r="G89" s="20">
        <v>50</v>
      </c>
      <c r="H89" s="20">
        <v>36</v>
      </c>
      <c r="I89" s="20">
        <v>0</v>
      </c>
      <c r="J89" s="20">
        <v>0</v>
      </c>
      <c r="K89" s="20">
        <v>11</v>
      </c>
      <c r="L89" s="20">
        <v>97</v>
      </c>
      <c r="M89" s="20">
        <v>86</v>
      </c>
      <c r="N89" s="20">
        <v>46</v>
      </c>
      <c r="O89" s="20">
        <v>0</v>
      </c>
      <c r="P89" s="20">
        <v>0</v>
      </c>
      <c r="Q89" s="20">
        <v>10</v>
      </c>
      <c r="R89" s="20">
        <v>0</v>
      </c>
      <c r="S89" s="20">
        <v>13</v>
      </c>
      <c r="T89" s="20">
        <v>0</v>
      </c>
      <c r="U89" s="20">
        <v>0</v>
      </c>
      <c r="V89" s="20">
        <v>0</v>
      </c>
      <c r="W89" s="20">
        <v>0</v>
      </c>
      <c r="X89" s="20">
        <v>155</v>
      </c>
      <c r="Y89" s="20">
        <v>0</v>
      </c>
      <c r="Z89" s="20">
        <v>0</v>
      </c>
      <c r="AA89" s="20">
        <v>252</v>
      </c>
      <c r="AB89" s="20">
        <v>0</v>
      </c>
      <c r="AC89" s="20">
        <v>0</v>
      </c>
      <c r="AD89" s="20">
        <v>0</v>
      </c>
      <c r="AE89" s="20">
        <v>75</v>
      </c>
      <c r="AF89" s="20">
        <v>0</v>
      </c>
      <c r="AG89" s="20">
        <v>75</v>
      </c>
      <c r="AH89" s="20">
        <v>314</v>
      </c>
      <c r="AI89" s="20">
        <v>13</v>
      </c>
      <c r="AJ89" s="21">
        <v>327</v>
      </c>
    </row>
    <row r="90" spans="1:36" x14ac:dyDescent="0.3">
      <c r="A90" s="58" t="s">
        <v>116</v>
      </c>
      <c r="B90" s="59" t="s">
        <v>117</v>
      </c>
      <c r="C90" s="13">
        <v>39</v>
      </c>
      <c r="D90" s="14"/>
      <c r="E90" s="15">
        <v>39</v>
      </c>
      <c r="F90" s="16">
        <v>39</v>
      </c>
      <c r="G90" s="25">
        <v>4</v>
      </c>
      <c r="H90" s="25"/>
      <c r="I90" s="25"/>
      <c r="J90" s="25"/>
      <c r="K90" s="25">
        <v>3</v>
      </c>
      <c r="L90" s="27">
        <v>7</v>
      </c>
      <c r="M90" s="25">
        <v>12</v>
      </c>
      <c r="N90" s="25">
        <v>11</v>
      </c>
      <c r="O90" s="25"/>
      <c r="P90" s="25"/>
      <c r="Q90" s="25">
        <v>2</v>
      </c>
      <c r="R90" s="25"/>
      <c r="S90" s="25"/>
      <c r="T90" s="25"/>
      <c r="U90" s="25"/>
      <c r="V90" s="25"/>
      <c r="W90" s="25"/>
      <c r="X90" s="27">
        <v>25</v>
      </c>
      <c r="Y90" s="25"/>
      <c r="Z90" s="25"/>
      <c r="AA90" s="27">
        <v>32</v>
      </c>
      <c r="AB90" s="25"/>
      <c r="AC90" s="25"/>
      <c r="AD90" s="25"/>
      <c r="AE90" s="25">
        <v>7</v>
      </c>
      <c r="AF90" s="25"/>
      <c r="AG90" s="27">
        <v>7</v>
      </c>
      <c r="AH90" s="25">
        <v>39</v>
      </c>
      <c r="AI90" s="25">
        <v>0</v>
      </c>
      <c r="AJ90" s="28">
        <v>39</v>
      </c>
    </row>
    <row r="91" spans="1:36" x14ac:dyDescent="0.3">
      <c r="A91" s="40" t="s">
        <v>116</v>
      </c>
      <c r="B91" s="55" t="s">
        <v>118</v>
      </c>
      <c r="C91" s="31">
        <v>38</v>
      </c>
      <c r="D91" s="32"/>
      <c r="E91" s="33">
        <v>38</v>
      </c>
      <c r="F91" s="34">
        <v>38</v>
      </c>
      <c r="G91" s="35">
        <v>4</v>
      </c>
      <c r="H91" s="35"/>
      <c r="I91" s="35"/>
      <c r="J91" s="35"/>
      <c r="K91" s="35">
        <v>3</v>
      </c>
      <c r="L91" s="38">
        <v>7</v>
      </c>
      <c r="M91" s="35">
        <v>11</v>
      </c>
      <c r="N91" s="35">
        <v>11</v>
      </c>
      <c r="O91" s="35"/>
      <c r="P91" s="35"/>
      <c r="Q91" s="35">
        <v>2</v>
      </c>
      <c r="R91" s="35"/>
      <c r="S91" s="35"/>
      <c r="T91" s="35"/>
      <c r="U91" s="35"/>
      <c r="V91" s="35"/>
      <c r="W91" s="35"/>
      <c r="X91" s="38">
        <v>24</v>
      </c>
      <c r="Y91" s="35"/>
      <c r="Z91" s="35"/>
      <c r="AA91" s="38">
        <v>31</v>
      </c>
      <c r="AB91" s="35"/>
      <c r="AC91" s="35"/>
      <c r="AD91" s="35"/>
      <c r="AE91" s="35">
        <v>7</v>
      </c>
      <c r="AF91" s="35"/>
      <c r="AG91" s="38">
        <v>7</v>
      </c>
      <c r="AH91" s="35">
        <v>38</v>
      </c>
      <c r="AI91" s="35">
        <v>0</v>
      </c>
      <c r="AJ91" s="39">
        <v>38</v>
      </c>
    </row>
    <row r="92" spans="1:36" ht="17.25" thickBot="1" x14ac:dyDescent="0.35">
      <c r="A92" s="314" t="s">
        <v>36</v>
      </c>
      <c r="B92" s="315"/>
      <c r="C92" s="19">
        <v>77</v>
      </c>
      <c r="D92" s="20">
        <v>0</v>
      </c>
      <c r="E92" s="21">
        <v>77</v>
      </c>
      <c r="F92" s="22">
        <v>77</v>
      </c>
      <c r="G92" s="20">
        <v>8</v>
      </c>
      <c r="H92" s="20">
        <v>0</v>
      </c>
      <c r="I92" s="20">
        <v>0</v>
      </c>
      <c r="J92" s="20">
        <v>0</v>
      </c>
      <c r="K92" s="20">
        <v>6</v>
      </c>
      <c r="L92" s="20">
        <v>14</v>
      </c>
      <c r="M92" s="20">
        <v>23</v>
      </c>
      <c r="N92" s="20">
        <v>22</v>
      </c>
      <c r="O92" s="20">
        <v>0</v>
      </c>
      <c r="P92" s="20">
        <v>0</v>
      </c>
      <c r="Q92" s="20">
        <v>4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49</v>
      </c>
      <c r="Y92" s="20">
        <v>0</v>
      </c>
      <c r="Z92" s="20">
        <v>0</v>
      </c>
      <c r="AA92" s="20">
        <v>63</v>
      </c>
      <c r="AB92" s="20">
        <v>0</v>
      </c>
      <c r="AC92" s="20">
        <v>0</v>
      </c>
      <c r="AD92" s="20">
        <v>0</v>
      </c>
      <c r="AE92" s="20">
        <v>14</v>
      </c>
      <c r="AF92" s="20">
        <v>0</v>
      </c>
      <c r="AG92" s="20">
        <v>14</v>
      </c>
      <c r="AH92" s="20">
        <v>77</v>
      </c>
      <c r="AI92" s="20">
        <v>0</v>
      </c>
      <c r="AJ92" s="21">
        <v>77</v>
      </c>
    </row>
    <row r="93" spans="1:36" x14ac:dyDescent="0.3">
      <c r="A93" s="244" t="s">
        <v>119</v>
      </c>
      <c r="B93" s="316"/>
      <c r="C93" s="71">
        <v>3197</v>
      </c>
      <c r="D93" s="72">
        <v>1</v>
      </c>
      <c r="E93" s="73">
        <v>3198</v>
      </c>
      <c r="F93" s="74">
        <v>3157</v>
      </c>
      <c r="G93" s="75">
        <v>485</v>
      </c>
      <c r="H93" s="75">
        <v>320</v>
      </c>
      <c r="I93" s="75">
        <v>0</v>
      </c>
      <c r="J93" s="76">
        <v>20</v>
      </c>
      <c r="K93" s="75">
        <v>110</v>
      </c>
      <c r="L93" s="75">
        <v>935</v>
      </c>
      <c r="M93" s="75">
        <v>765</v>
      </c>
      <c r="N93" s="76">
        <v>516</v>
      </c>
      <c r="O93" s="75">
        <v>6</v>
      </c>
      <c r="P93" s="76">
        <v>6</v>
      </c>
      <c r="Q93" s="75">
        <v>78</v>
      </c>
      <c r="R93" s="75">
        <v>12</v>
      </c>
      <c r="S93" s="77">
        <v>126</v>
      </c>
      <c r="T93" s="78">
        <v>4</v>
      </c>
      <c r="U93" s="77">
        <v>43</v>
      </c>
      <c r="V93" s="78">
        <v>30</v>
      </c>
      <c r="W93" s="78">
        <v>16</v>
      </c>
      <c r="X93" s="75">
        <v>1602</v>
      </c>
      <c r="Y93" s="75">
        <v>102</v>
      </c>
      <c r="Z93" s="75">
        <v>11</v>
      </c>
      <c r="AA93" s="75">
        <v>2650</v>
      </c>
      <c r="AB93" s="75">
        <v>354</v>
      </c>
      <c r="AC93" s="76">
        <v>10</v>
      </c>
      <c r="AD93" s="75">
        <v>7</v>
      </c>
      <c r="AE93" s="75">
        <v>355</v>
      </c>
      <c r="AF93" s="75">
        <v>0</v>
      </c>
      <c r="AG93" s="75">
        <v>726</v>
      </c>
      <c r="AH93" s="75">
        <v>3157</v>
      </c>
      <c r="AI93" s="78">
        <v>219</v>
      </c>
      <c r="AJ93" s="75">
        <v>3376</v>
      </c>
    </row>
    <row r="94" spans="1:36" ht="17.25" thickBot="1" x14ac:dyDescent="0.35">
      <c r="A94" s="266"/>
      <c r="B94" s="317"/>
      <c r="C94" s="79"/>
      <c r="D94" s="80"/>
      <c r="E94" s="81"/>
      <c r="F94" s="82"/>
      <c r="G94" s="83">
        <v>14.366113744075829</v>
      </c>
      <c r="H94" s="83">
        <v>9.4786729857819907</v>
      </c>
      <c r="I94" s="83">
        <v>0</v>
      </c>
      <c r="J94" s="83">
        <v>0.59241706161137442</v>
      </c>
      <c r="K94" s="83">
        <v>3.2582938388625595</v>
      </c>
      <c r="L94" s="83">
        <v>27.695497630331754</v>
      </c>
      <c r="M94" s="83">
        <v>22.65995260663507</v>
      </c>
      <c r="N94" s="83">
        <v>15.284360189573459</v>
      </c>
      <c r="O94" s="83">
        <v>0.17772511848341233</v>
      </c>
      <c r="P94" s="83">
        <v>0.17772511848341233</v>
      </c>
      <c r="Q94" s="83">
        <v>2.31042654028436</v>
      </c>
      <c r="R94" s="83">
        <v>0.35545023696682465</v>
      </c>
      <c r="S94" s="83">
        <v>3.7322274881516586</v>
      </c>
      <c r="T94" s="83">
        <v>0.11848341232227488</v>
      </c>
      <c r="U94" s="83">
        <v>1.2736966824644549</v>
      </c>
      <c r="V94" s="83">
        <v>0.88862559241706163</v>
      </c>
      <c r="W94" s="83">
        <v>0.47393364928909953</v>
      </c>
      <c r="X94" s="83">
        <v>47.452606635071085</v>
      </c>
      <c r="Y94" s="83">
        <v>3.0213270142180093</v>
      </c>
      <c r="Z94" s="83">
        <v>0.32582938388625593</v>
      </c>
      <c r="AA94" s="83">
        <v>78.495260663507111</v>
      </c>
      <c r="AB94" s="83">
        <v>10.485781990521327</v>
      </c>
      <c r="AC94" s="83">
        <v>0.29620853080568721</v>
      </c>
      <c r="AD94" s="83">
        <v>0.20734597156398105</v>
      </c>
      <c r="AE94" s="83">
        <v>10.515402843601896</v>
      </c>
      <c r="AF94" s="83">
        <v>0</v>
      </c>
      <c r="AG94" s="83">
        <v>21.504739336492893</v>
      </c>
      <c r="AH94" s="83">
        <v>93.51303317535546</v>
      </c>
      <c r="AI94" s="83">
        <v>6.4869668246445498</v>
      </c>
      <c r="AJ94" s="83">
        <v>100</v>
      </c>
    </row>
  </sheetData>
  <autoFilter ref="A5:AJ94"/>
  <mergeCells count="43">
    <mergeCell ref="A1:AJ1"/>
    <mergeCell ref="A2:A5"/>
    <mergeCell ref="B2:B5"/>
    <mergeCell ref="C2:C5"/>
    <mergeCell ref="D2:D5"/>
    <mergeCell ref="E2:E5"/>
    <mergeCell ref="F2:F5"/>
    <mergeCell ref="G2:AA2"/>
    <mergeCell ref="AB2:AG2"/>
    <mergeCell ref="AH2:AI4"/>
    <mergeCell ref="AE4:AF4"/>
    <mergeCell ref="AJ2:AJ5"/>
    <mergeCell ref="G3:L3"/>
    <mergeCell ref="M3:X3"/>
    <mergeCell ref="Y3:Z3"/>
    <mergeCell ref="AA3:AA5"/>
    <mergeCell ref="AB3:AD3"/>
    <mergeCell ref="AE3:AF3"/>
    <mergeCell ref="AG3:AG5"/>
    <mergeCell ref="G4:K4"/>
    <mergeCell ref="L4:L5"/>
    <mergeCell ref="M4:R4"/>
    <mergeCell ref="S4:W4"/>
    <mergeCell ref="X4:X5"/>
    <mergeCell ref="Y4:Z4"/>
    <mergeCell ref="AB4:AD4"/>
    <mergeCell ref="A75:B75"/>
    <mergeCell ref="A7:B7"/>
    <mergeCell ref="A13:B13"/>
    <mergeCell ref="A22:B22"/>
    <mergeCell ref="A26:B26"/>
    <mergeCell ref="A40:B40"/>
    <mergeCell ref="A53:B53"/>
    <mergeCell ref="A60:B60"/>
    <mergeCell ref="A64:B64"/>
    <mergeCell ref="A66:B66"/>
    <mergeCell ref="A68:B68"/>
    <mergeCell ref="A70:B70"/>
    <mergeCell ref="A77:B77"/>
    <mergeCell ref="A83:B83"/>
    <mergeCell ref="A89:B89"/>
    <mergeCell ref="A92:B92"/>
    <mergeCell ref="A93:B94"/>
  </mergeCells>
  <phoneticPr fontId="3" type="noConversion"/>
  <pageMargins left="0.70866141732283472" right="0.70866141732283472" top="0.74803149606299213" bottom="0.74803149606299213" header="0.31496062992125984" footer="0.31496062992125984"/>
  <pageSetup paperSize="8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7</vt:i4>
      </vt:variant>
    </vt:vector>
  </HeadingPairs>
  <TitlesOfParts>
    <vt:vector size="11" baseType="lpstr">
      <vt:lpstr>춘천캠퍼스</vt:lpstr>
      <vt:lpstr>2026학년도(당초) 공표안</vt:lpstr>
      <vt:lpstr>(참고) 2027 시행계획</vt:lpstr>
      <vt:lpstr>(참고) 2025 시행계획</vt:lpstr>
      <vt:lpstr>'(참고) 2027 시행계획'!Print_Area</vt:lpstr>
      <vt:lpstr>'2026학년도(당초) 공표안'!Print_Area</vt:lpstr>
      <vt:lpstr>춘천캠퍼스!Print_Area</vt:lpstr>
      <vt:lpstr>'(참고) 2025 시행계획'!Print_Titles</vt:lpstr>
      <vt:lpstr>'(참고) 2027 시행계획'!Print_Titles</vt:lpstr>
      <vt:lpstr>'2026학년도(당초) 공표안'!Print_Titles</vt:lpstr>
      <vt:lpstr>춘천캠퍼스!Print_Titles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장익규</dc:creator>
  <cp:lastModifiedBy>User</cp:lastModifiedBy>
  <cp:lastPrinted>2026-04-29T04:54:06Z</cp:lastPrinted>
  <dcterms:created xsi:type="dcterms:W3CDTF">2023-03-22T07:44:09Z</dcterms:created>
  <dcterms:modified xsi:type="dcterms:W3CDTF">2026-04-29T05:09:43Z</dcterms:modified>
</cp:coreProperties>
</file>